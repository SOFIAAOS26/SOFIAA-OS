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📅 Calendario" sheetId="2" state="visible" r:id="rId4"/>
    <sheet name="💰 Finanzas" sheetId="3" state="visible" r:id="rId5"/>
    <sheet name="🤝 CRM" sheetId="4" state="visible" r:id="rId6"/>
    <sheet name="🏢 Clientes" sheetId="5" state="visible" r:id="rId7"/>
    <sheet name="📈 Métricas" sheetId="6" state="visible" r:id="rId8"/>
    <sheet name="✍️ Copy &amp; Hooks" sheetId="7" state="visible" r:id="rId9"/>
    <sheet name="🎯 Cotizador" sheetId="8" state="visible" r:id="rId10"/>
    <sheet name="📋 Reporte" sheetId="9" state="visible" r:id="rId11"/>
    <sheet name="💡 Ideas Hub" sheetId="10" state="visible" r:id="rId12"/>
    <sheet name="📖 Guía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<sst xmlns="http://schemas.openxmlformats.org/spreadsheetml/2006/main" count="917" uniqueCount="553">
  <si>
    <t xml:space="preserve">📊 Dashboard</t>
  </si>
  <si>
    <t xml:space="preserve">📅 Calendario</t>
  </si>
  <si>
    <t xml:space="preserve">💰 Finanzas</t>
  </si>
  <si>
    <t xml:space="preserve">🤝 CRM</t>
  </si>
  <si>
    <t xml:space="preserve">🏢 Clientes</t>
  </si>
  <si>
    <t xml:space="preserve">📈 Métricas</t>
  </si>
  <si>
    <t xml:space="preserve">PASCALL  ·  Social Media Command Center</t>
  </si>
  <si>
    <t xml:space="preserve">Actualizado: March 2026</t>
  </si>
  <si>
    <t xml:space="preserve">👥  CLIENTES ACTIVOS</t>
  </si>
  <si>
    <t xml:space="preserve">💵  INGRESOS MES</t>
  </si>
  <si>
    <t xml:space="preserve">📈  ROAS PROMEDIO</t>
  </si>
  <si>
    <t xml:space="preserve">📣  PUBLICACIONES MES</t>
  </si>
  <si>
    <t xml:space="preserve">💸  GASTOS MES</t>
  </si>
  <si>
    <t xml:space="preserve">📊  MARGEN NETO</t>
  </si>
  <si>
    <t xml:space="preserve">🎯  CPL PROMEDIO</t>
  </si>
  <si>
    <t xml:space="preserve">🤝  COLABORACIONES</t>
  </si>
  <si>
    <t xml:space="preserve">  🏢  ESTADO DE CLIENTES</t>
  </si>
  <si>
    <t xml:space="preserve">Cliente</t>
  </si>
  <si>
    <t xml:space="preserve">Plataformas</t>
  </si>
  <si>
    <t xml:space="preserve">Posts/Mes</t>
  </si>
  <si>
    <t xml:space="preserve">Inversión MXN</t>
  </si>
  <si>
    <t xml:space="preserve">ROAS</t>
  </si>
  <si>
    <t xml:space="preserve">Estado</t>
  </si>
  <si>
    <t xml:space="preserve">Clínica Derma Norte</t>
  </si>
  <si>
    <t xml:space="preserve">IG · FB · TT</t>
  </si>
  <si>
    <t xml:space="preserve">Activo</t>
  </si>
  <si>
    <t xml:space="preserve">Restaurante El Cobre</t>
  </si>
  <si>
    <t xml:space="preserve">IG · FB</t>
  </si>
  <si>
    <t xml:space="preserve">Academia Fit MTY</t>
  </si>
  <si>
    <t xml:space="preserve">IG · TT · YT</t>
  </si>
  <si>
    <t xml:space="preserve">En pausa</t>
  </si>
  <si>
    <t xml:space="preserve">Boutique Cielito</t>
  </si>
  <si>
    <t xml:space="preserve">IG</t>
  </si>
  <si>
    <t xml:space="preserve">Consultorio Dr. Pérez</t>
  </si>
  <si>
    <t xml:space="preserve">FB · Google</t>
  </si>
  <si>
    <t xml:space="preserve">  🚦  SEMÁFORO DE METAS — ESTADO ACTUAL</t>
  </si>
  <si>
    <t xml:space="preserve">Métrica</t>
  </si>
  <si>
    <t xml:space="preserve">Valor Actual</t>
  </si>
  <si>
    <t xml:space="preserve">Meta Óptima</t>
  </si>
  <si>
    <t xml:space="preserve">Mínimo Aceptable</t>
  </si>
  <si>
    <t xml:space="preserve">Acción Recomendada</t>
  </si>
  <si>
    <t xml:space="preserve">Mantén mix de contenido actual. Prueba nuevos segmentos.</t>
  </si>
  <si>
    <t xml:space="preserve">Margen %</t>
  </si>
  <si>
    <t xml:space="preserve">Revisa estructura de costos. Considera paquetes premium.</t>
  </si>
  <si>
    <t xml:space="preserve">CPL MXN</t>
  </si>
  <si>
    <t xml:space="preserve">Optimiza segmentación de anuncios y landing pages.</t>
  </si>
  <si>
    <t xml:space="preserve">Ingresos MXN</t>
  </si>
  <si>
    <t xml:space="preserve">Activa prospección de 2 clientes nuevos este mes.</t>
  </si>
  <si>
    <t xml:space="preserve">  🔽  EMBUDO DE CONVERSIÓN — ESTE MES</t>
  </si>
  <si>
    <t xml:space="preserve">Etapa</t>
  </si>
  <si>
    <t xml:space="preserve">Volumen</t>
  </si>
  <si>
    <t xml:space="preserve">Tasa de Conversión</t>
  </si>
  <si>
    <t xml:space="preserve">Visual</t>
  </si>
  <si>
    <t xml:space="preserve">👁️ Alcance Total</t>
  </si>
  <si>
    <t xml:space="preserve">100% (base)</t>
  </si>
  <si>
    <t xml:space="preserve">IIIIIIIIIIIIIIIIIIIII</t>
  </si>
  <si>
    <t xml:space="preserve">💬 Engagement</t>
  </si>
  <si>
    <t xml:space="preserve">IIIIIIIIIIIII</t>
  </si>
  <si>
    <t xml:space="preserve">🖱️ Clics al Perfil</t>
  </si>
  <si>
    <t xml:space="preserve">IIIIIII</t>
  </si>
  <si>
    <t xml:space="preserve">🎯 Leads Generados</t>
  </si>
  <si>
    <t xml:space="preserve">IIII</t>
  </si>
  <si>
    <t xml:space="preserve">💰 Ventas / Cierres</t>
  </si>
  <si>
    <t xml:space="preserve">II</t>
  </si>
  <si>
    <t xml:space="preserve">📅  PLANIFICADOR DE CONTENIDO — MULTI-CLIENTE</t>
  </si>
  <si>
    <t xml:space="preserve">Usa los filtros de Excel para ver por cliente, plataforma o estado →</t>
  </si>
  <si>
    <t xml:space="preserve">Fecha</t>
  </si>
  <si>
    <t xml:space="preserve">Contenido / Copy</t>
  </si>
  <si>
    <t xml:space="preserve">Plataforma</t>
  </si>
  <si>
    <t xml:space="preserve">Formato</t>
  </si>
  <si>
    <t xml:space="preserve">Responsable</t>
  </si>
  <si>
    <t xml:space="preserve">Copy Aprobado</t>
  </si>
  <si>
    <t xml:space="preserve">Assets Listos</t>
  </si>
  <si>
    <t xml:space="preserve">Fecha Publicación</t>
  </si>
  <si>
    <t xml:space="preserve">Alcance Real</t>
  </si>
  <si>
    <t xml:space="preserve">Engagement %</t>
  </si>
  <si>
    <t xml:space="preserve">% Progreso</t>
  </si>
  <si>
    <t xml:space="preserve">Barra</t>
  </si>
  <si>
    <t xml:space="preserve">Eficiencia</t>
  </si>
  <si>
    <t xml:space="preserve">Tips de cuidado solar ☀️</t>
  </si>
  <si>
    <t xml:space="preserve">Instagram</t>
  </si>
  <si>
    <t xml:space="preserve">Reels</t>
  </si>
  <si>
    <t xml:space="preserve">En producción</t>
  </si>
  <si>
    <t xml:space="preserve">Ben</t>
  </si>
  <si>
    <t xml:space="preserve">Sí</t>
  </si>
  <si>
    <t xml:space="preserve">4.2%</t>
  </si>
  <si>
    <t xml:space="preserve">Antes y después tratamiento</t>
  </si>
  <si>
    <t xml:space="preserve">Facebook</t>
  </si>
  <si>
    <t xml:space="preserve">Carrusel</t>
  </si>
  <si>
    <t xml:space="preserve">Aprobado</t>
  </si>
  <si>
    <t xml:space="preserve">Especial fin de semana 🍽️</t>
  </si>
  <si>
    <t xml:space="preserve">Post</t>
  </si>
  <si>
    <t xml:space="preserve">Idea</t>
  </si>
  <si>
    <t xml:space="preserve">Socio Marketing</t>
  </si>
  <si>
    <t xml:space="preserve">No</t>
  </si>
  <si>
    <t xml:space="preserve">Rutina de 7 minutos</t>
  </si>
  <si>
    <t xml:space="preserve">TikTok</t>
  </si>
  <si>
    <t xml:space="preserve">Lookbook Primavera 🌸</t>
  </si>
  <si>
    <t xml:space="preserve">En revisión</t>
  </si>
  <si>
    <t xml:space="preserve">Importancia del check anual</t>
  </si>
  <si>
    <t xml:space="preserve">Programado</t>
  </si>
  <si>
    <t xml:space="preserve">Q&amp;A en vivo con dermatólogo</t>
  </si>
  <si>
    <t xml:space="preserve">Live</t>
  </si>
  <si>
    <t xml:space="preserve">💰  CENTRO FINANCIERO — SOCIAL MEDIA</t>
  </si>
  <si>
    <t xml:space="preserve">  ⚡  KPIs CLAVE DEL MES</t>
  </si>
  <si>
    <t xml:space="preserve">Valor</t>
  </si>
  <si>
    <t xml:space="preserve">Meta</t>
  </si>
  <si>
    <t xml:space="preserve">Vs Meta</t>
  </si>
  <si>
    <t xml:space="preserve">Ingresos Totales MXN</t>
  </si>
  <si>
    <t xml:space="preserve">Gastos Totales MXN</t>
  </si>
  <si>
    <t xml:space="preserve">Margen Neto MXN</t>
  </si>
  <si>
    <t xml:space="preserve">Inversión Publicitaria MXN</t>
  </si>
  <si>
    <t xml:space="preserve">Retorno Publicitario MXN</t>
  </si>
  <si>
    <t xml:space="preserve">ROAS Promedio</t>
  </si>
  <si>
    <t xml:space="preserve">CPL Promedio MXN</t>
  </si>
  <si>
    <t xml:space="preserve">ROI %</t>
  </si>
  <si>
    <t xml:space="preserve">  📆  SEGUIMIENTO MENSUAL — 12 MESES</t>
  </si>
  <si>
    <t xml:space="preserve">Mes</t>
  </si>
  <si>
    <t xml:space="preserve">Clientes</t>
  </si>
  <si>
    <t xml:space="preserve">Gastos MXN</t>
  </si>
  <si>
    <t xml:space="preserve">Margen MXN</t>
  </si>
  <si>
    <t xml:space="preserve">Inv. Publi.</t>
  </si>
  <si>
    <t xml:space="preserve">Retorno</t>
  </si>
  <si>
    <t xml:space="preserve">CPL</t>
  </si>
  <si>
    <t xml:space="preserve">Leads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</si>
  <si>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</si>
  <si>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</si>
  <si>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</si>
  <si>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</si>
  <si>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</si>
  <si>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</si>
  <si>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</si>
  <si>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</si>
  <si>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</si>
  <si>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</si>
  <si>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</si>
  <si>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</si>
  <si>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TOTAL ANUAL</t>
  </si>
  <si>
    <t xml:space="preserve">  🏢  DETALLE INGRESOS &amp; GASTOS POR CLIENTE</t>
  </si>
  <si>
    <t xml:space="preserve">Servicio</t>
  </si>
  <si>
    <t xml:space="preserve">Honorarios MXN</t>
  </si>
  <si>
    <t xml:space="preserve">Community + Ads</t>
  </si>
  <si>
    <t xml:space="preserve">Community</t>
  </si>
  <si>
    <t xml:space="preserve">Full Package</t>
  </si>
  <si>
    <t xml:space="preserve">  ⏱️  RENTABILIDAD POR HORA — ANÁLISIS DE EFICIENCIA</t>
  </si>
  <si>
    <t xml:space="preserve">Honorarios</t>
  </si>
  <si>
    <t xml:space="preserve">Horas/Mes</t>
  </si>
  <si>
    <t xml:space="preserve">Tarifa Real $/h</t>
  </si>
  <si>
    <t xml:space="preserve">Margen/h</t>
  </si>
  <si>
    <t xml:space="preserve">Semáforo</t>
  </si>
  <si>
    <t xml:space="preserve">  🚀  PROYECCIÓN DE ESCALABILIDAD — SIMULADOR</t>
  </si>
  <si>
    <t xml:space="preserve">Ingresa tu meta de ingreso mensual y el ticket promedio para ver cuántos clientes necesitas:</t>
  </si>
  <si>
    <t xml:space="preserve">Meta de Ingresos Mensuales (MXN)</t>
  </si>
  <si>
    <t xml:space="preserve">Ticket Promedio por Cliente (MXN)</t>
  </si>
  <si>
    <t xml:space="preserve">Horas disponibles por mes</t>
  </si>
  <si>
    <t xml:space="preserve">Clientes necesarios</t>
  </si>
  <si>
    <t xml:space="preserve">Horas totales requeridas</t>
  </si>
  <si>
    <t xml:space="preserve">¿Factible sin equipo?</t>
  </si>
  <si>
    <t xml:space="preserve">Ingreso por hora real</t>
  </si>
  <si>
    <t xml:space="preserve">Margen estimado (40%)</t>
  </si>
  <si>
    <t xml:space="preserve">🤝  CRM — COLABORACIONES Y CONTACTOS CLAVE</t>
  </si>
  <si>
    <t xml:space="preserve">  ⚡  RESUMEN RÁPIDO</t>
  </si>
  <si>
    <t xml:space="preserve">Total Contactos</t>
  </si>
  <si>
    <t xml:space="preserve">Activos</t>
  </si>
  <si>
    <t xml:space="preserve">En negociación</t>
  </si>
  <si>
    <t xml:space="preserve">Cerrados</t>
  </si>
  <si>
    <t xml:space="preserve">Nombre / Marca</t>
  </si>
  <si>
    <t xml:space="preserve">Tipo</t>
  </si>
  <si>
    <t xml:space="preserve">Handle / Contacto</t>
  </si>
  <si>
    <t xml:space="preserve">Seguidores</t>
  </si>
  <si>
    <t xml:space="preserve">Prioridad</t>
  </si>
  <si>
    <t xml:space="preserve">Tipo Collab</t>
  </si>
  <si>
    <t xml:space="preserve">Presupuesto MXN</t>
  </si>
  <si>
    <t xml:space="preserve">Fecha Contacto</t>
  </si>
  <si>
    <t xml:space="preserve">Próximo Paso</t>
  </si>
  <si>
    <t xml:space="preserve">Notas</t>
  </si>
  <si>
    <t xml:space="preserve">@dermbeauty.mty</t>
  </si>
  <si>
    <t xml:space="preserve">Influencer</t>
  </si>
  <si>
    <t xml:space="preserve">Alta</t>
  </si>
  <si>
    <t xml:space="preserve">Pago</t>
  </si>
  <si>
    <t xml:space="preserve">Renovar contrato abril</t>
  </si>
  <si>
    <t xml:space="preserve">Tasa de eng. 4.8%</t>
  </si>
  <si>
    <t xml:space="preserve">Revista Estilo MTY</t>
  </si>
  <si>
    <t xml:space="preserve">Media</t>
  </si>
  <si>
    <t xml:space="preserve">Instagram · Impreso</t>
  </si>
  <si>
    <t xml:space="preserve">contacto@estiломty.mx</t>
  </si>
  <si>
    <t xml:space="preserve">Canje</t>
  </si>
  <si>
    <t xml:space="preserve">Enviar propuesta</t>
  </si>
  <si>
    <t xml:space="preserve">Interés en 2 clientes</t>
  </si>
  <si>
    <t xml:space="preserve">FitCoach Ramírez</t>
  </si>
  <si>
    <t xml:space="preserve">Creador de contenido</t>
  </si>
  <si>
    <t xml:space="preserve">@fitramirezmty</t>
  </si>
  <si>
    <t xml:space="preserve">Barter</t>
  </si>
  <si>
    <t xml:space="preserve">Medir resultados</t>
  </si>
  <si>
    <t xml:space="preserve">Collab con Academia Fit</t>
  </si>
  <si>
    <t xml:space="preserve">Agencia Pixel</t>
  </si>
  <si>
    <t xml:space="preserve">Aliado estratégico</t>
  </si>
  <si>
    <t xml:space="preserve">LinkedIn</t>
  </si>
  <si>
    <t xml:space="preserve">hola@pixelagency.mx</t>
  </si>
  <si>
    <t xml:space="preserve">Co-producción</t>
  </si>
  <si>
    <t xml:space="preserve">Reunión semanal</t>
  </si>
  <si>
    <t xml:space="preserve">Referidos mutuos</t>
  </si>
  <si>
    <t xml:space="preserve">@foodiesmty</t>
  </si>
  <si>
    <t xml:space="preserve">Instagram · TikTok</t>
  </si>
  <si>
    <t xml:space="preserve">Prospecto</t>
  </si>
  <si>
    <t xml:space="preserve">Por definir</t>
  </si>
  <si>
    <t xml:space="preserve">Enviar DM</t>
  </si>
  <si>
    <t xml:space="preserve">Perfecto para El Cobre</t>
  </si>
  <si>
    <t xml:space="preserve">Studio Luz Visual</t>
  </si>
  <si>
    <t xml:space="preserve">Proveedor</t>
  </si>
  <si>
    <t xml:space="preserve">—</t>
  </si>
  <si>
    <t xml:space="preserve">studio@luzvisual.mx</t>
  </si>
  <si>
    <t xml:space="preserve">Fotógrafos freelance</t>
  </si>
  <si>
    <t xml:space="preserve">  💎  CALCULADORA DE VALOR DE INFLUENCER</t>
  </si>
  <si>
    <t xml:space="preserve">Cruza seguidores con engagement real para calcular el fee justo y evitar pagar de más.</t>
  </si>
  <si>
    <t xml:space="preserve">Creador</t>
  </si>
  <si>
    <t xml:space="preserve">Eng%</t>
  </si>
  <si>
    <t xml:space="preserve">Eng Real</t>
  </si>
  <si>
    <t xml:space="preserve">CPM Ref. MXN</t>
  </si>
  <si>
    <t xml:space="preserve">Fee Justo/Post</t>
  </si>
  <si>
    <t xml:space="preserve">Fee Máximo</t>
  </si>
  <si>
    <t xml:space="preserve">Categoría</t>
  </si>
  <si>
    <t xml:space="preserve">Recomendación</t>
  </si>
  <si>
    <t xml:space="preserve">Canal Salud MTY</t>
  </si>
  <si>
    <t xml:space="preserve">YouTube</t>
  </si>
  <si>
    <t xml:space="preserve">🏢  DIRECTORIO DE CLIENTES — PASCALL GROUP</t>
  </si>
  <si>
    <t xml:space="preserve">  📋  CLIENTES ACTIVOS Y CARTERA</t>
  </si>
  <si>
    <t xml:space="preserve">Empresa / Marca</t>
  </si>
  <si>
    <t xml:space="preserve">Industria</t>
  </si>
  <si>
    <t xml:space="preserve">Contacto Principal</t>
  </si>
  <si>
    <t xml:space="preserve">Tel / WhatsApp</t>
  </si>
  <si>
    <t xml:space="preserve">Email</t>
  </si>
  <si>
    <t xml:space="preserve">Paquete MXN/mes</t>
  </si>
  <si>
    <t xml:space="preserve">Fecha Inicio</t>
  </si>
  <si>
    <t xml:space="preserve">Renovación</t>
  </si>
  <si>
    <t xml:space="preserve">Score</t>
  </si>
  <si>
    <t xml:space="preserve">Salud &amp; Belleza</t>
  </si>
  <si>
    <t xml:space="preserve">Dra. Laura Vega</t>
  </si>
  <si>
    <t xml:space="preserve">81 1234 5678</t>
  </si>
  <si>
    <t xml:space="preserve">lvega@dermante.mx</t>
  </si>
  <si>
    <t xml:space="preserve">IG·FB·TT</t>
  </si>
  <si>
    <t xml:space="preserve">Gastronomía</t>
  </si>
  <si>
    <t xml:space="preserve">Carlos Mendoza</t>
  </si>
  <si>
    <t xml:space="preserve">81 9876 5432</t>
  </si>
  <si>
    <t xml:space="preserve">carlos@elcobre.mx</t>
  </si>
  <si>
    <t xml:space="preserve">IG·FB</t>
  </si>
  <si>
    <t xml:space="preserve">Fitness &amp; Salud</t>
  </si>
  <si>
    <t xml:space="preserve">Sofía Reyes</t>
  </si>
  <si>
    <t xml:space="preserve">81 5555 1212</t>
  </si>
  <si>
    <t xml:space="preserve">sofia@academiafit.mx</t>
  </si>
  <si>
    <t xml:space="preserve">IG·TT·YT</t>
  </si>
  <si>
    <t xml:space="preserve">Moda &amp; Retail</t>
  </si>
  <si>
    <t xml:space="preserve">Ana Torres</t>
  </si>
  <si>
    <t xml:space="preserve">81 3344 5566</t>
  </si>
  <si>
    <t xml:space="preserve">ana@cielito.mx</t>
  </si>
  <si>
    <t xml:space="preserve">Salud</t>
  </si>
  <si>
    <t xml:space="preserve">Dr. Mario Pérez</t>
  </si>
  <si>
    <t xml:space="preserve">81 7788 9900</t>
  </si>
  <si>
    <t xml:space="preserve">mario@drperez.mx</t>
  </si>
  <si>
    <t xml:space="preserve">FB·Google</t>
  </si>
  <si>
    <t xml:space="preserve">📈  MÉTRICAS DE RENDIMIENTO POR CLIENTE</t>
  </si>
  <si>
    <t xml:space="preserve">  🎯  KPIs POR RED SOCIAL — MES ACTUAL</t>
  </si>
  <si>
    <t xml:space="preserve">Cliente / Cuenta</t>
  </si>
  <si>
    <t xml:space="preserve">Nuevos Segs</t>
  </si>
  <si>
    <t xml:space="preserve">Alcance</t>
  </si>
  <si>
    <t xml:space="preserve">Impresiones</t>
  </si>
  <si>
    <t xml:space="preserve">Publicaciones</t>
  </si>
  <si>
    <t xml:space="preserve">Guardados</t>
  </si>
  <si>
    <t xml:space="preserve">Clics al Perfil</t>
  </si>
  <si>
    <t xml:space="preserve">Score Eficiencia</t>
  </si>
  <si>
    <t xml:space="preserve">Vs Promedio</t>
  </si>
  <si>
    <t xml:space="preserve">Eng% Ant.</t>
  </si>
  <si>
    <t xml:space="preserve">△ Eng%</t>
  </si>
  <si>
    <t xml:space="preserve">  📐  BENCHMARK DE ENGAGEMENT POR FORMATO — ANÁLISIS</t>
  </si>
  <si>
    <t xml:space="preserve">Esta tabla se actualiza con el script Python externo (analyzer.py). Aquí se muestran los promedios calculados.</t>
  </si>
  <si>
    <t xml:space="preserve"># Publicaciones</t>
  </si>
  <si>
    <t xml:space="preserve">Alcance Prom.</t>
  </si>
  <si>
    <t xml:space="preserve">Eng% Prom.</t>
  </si>
  <si>
    <t xml:space="preserve">Score Prom.</t>
  </si>
  <si>
    <t xml:space="preserve">Mejor Cliente</t>
  </si>
  <si>
    <t xml:space="preserve">Recomendación IA</t>
  </si>
  <si>
    <t xml:space="preserve">Ejecuta analyzer.py para ver datos reales</t>
  </si>
  <si>
    <t xml:space="preserve">Post estático</t>
  </si>
  <si>
    <t xml:space="preserve">Story</t>
  </si>
  <si>
    <t xml:space="preserve">Video YT / Short</t>
  </si>
  <si>
    <t xml:space="preserve">✍️ Copy &amp; Hooks</t>
  </si>
  <si>
    <t xml:space="preserve">✍️  BANCO DE HOOKS &amp; ESTRUCTURAS DE COPY — Psicología de Ventas</t>
  </si>
  <si>
    <t xml:space="preserve">  🎣  HOOKS DE APERTURA (LOS PRIMEROS 3 SEGUNDOS SON TODO)</t>
  </si>
  <si>
    <t xml:space="preserve">Tipo de Hook</t>
  </si>
  <si>
    <t xml:space="preserve">Estructura / Template</t>
  </si>
  <si>
    <t xml:space="preserve">Ejemplo Real</t>
  </si>
  <si>
    <t xml:space="preserve">Pregunta Provocadora</t>
  </si>
  <si>
    <t xml:space="preserve">Universal</t>
  </si>
  <si>
    <t xml:space="preserve">ÿ¿[Dolor del cliente]? Esto es lo que nadie te dice sobre [tema].</t>
  </si>
  <si>
    <t xml:space="preserve">¿Tu piel nunca mejora aunque gastes en cremas? Esto es lo que las marcas no quieren que sepas.</t>
  </si>
  <si>
    <t xml:space="preserve">Cifra Impactante</t>
  </si>
  <si>
    <t xml:space="preserve">Salud / Finanzas</t>
  </si>
  <si>
    <t xml:space="preserve">"[X]% de [audiencia] no sabe que [dato sorprendente]."</t>
  </si>
  <si>
    <t xml:space="preserve">"El 78% de las personas en Monterrey pierde más de $3,000 pesos al año en skincare ineficiente."</t>
  </si>
  <si>
    <t xml:space="preserve">Antes / Después</t>
  </si>
  <si>
    <t xml:space="preserve">Belleza / Fitness</t>
  </si>
  <si>
    <t xml:space="preserve">"De [estado negativo] a [resultado deseado] en [tiempo]."</t>
  </si>
  <si>
    <t xml:space="preserve">"De piel apagada a luminosa en 21 días. Esto fue lo único que cambié."</t>
  </si>
  <si>
    <t xml:space="preserve">El Secreto</t>
  </si>
  <si>
    <t xml:space="preserve">Cualquier nicho</t>
  </si>
  <si>
    <t xml:space="preserve">"Lo que los [expertos/marcas] no quieren que sepas sobre [tema]."</t>
  </si>
  <si>
    <t xml:space="preserve">"Lo que los restaurantes de lujo no quieren que sepas sobre sus platillos del día."</t>
  </si>
  <si>
    <t xml:space="preserve">Identificación directa</t>
  </si>
  <si>
    <t xml:space="preserve">Ecommerce / Servicios</t>
  </si>
  <si>
    <t xml:space="preserve">"Si eres [descripción específica], este post es para ti."</t>
  </si>
  <si>
    <t xml:space="preserve">"Si eres mamá en Monterrey y cuidas tu piel, este post es para ti."</t>
  </si>
  <si>
    <t xml:space="preserve">El Error Común</t>
  </si>
  <si>
    <t xml:space="preserve">Educativo</t>
  </si>
  <si>
    <t xml:space="preserve">"El error #1 que comete [audiencia] cuando [acción]."</t>
  </si>
  <si>
    <t xml:space="preserve">"El error #1 que cometen los emprendedores cuando contratan a un community manager."</t>
  </si>
  <si>
    <t xml:space="preserve">Promesa de Resultado</t>
  </si>
  <si>
    <t xml:space="preserve">Fitness / Negocios</t>
  </si>
  <si>
    <t xml:space="preserve">"[Resultado específico] sin [objeción principal]. Así es cómo."</t>
  </si>
  <si>
    <t xml:space="preserve">"Más clientes para tu clínica sin gastar en publicidad costosa. Así es cómo."</t>
  </si>
  <si>
    <t xml:space="preserve">Storytelling de Empatía</t>
  </si>
  <si>
    <t xml:space="preserve">Salud / Lifestyle</t>
  </si>
  <si>
    <t xml:space="preserve">"Hace [tiempo], yo también [problema]. Hoy [transformación]."</t>
  </si>
  <si>
    <t xml:space="preserve">"Hace 6 meses yo también pensaba que los Reels eran una pérdida de tiempo. Hoy generan el 60% de mis clientes."</t>
  </si>
  <si>
    <t xml:space="preserve">FOMO (Urgencia)</t>
  </si>
  <si>
    <t xml:space="preserve">Ecommerce / Eventos</t>
  </si>
  <si>
    <t xml:space="preserve">"Solo [X] lugares/piezas/días. [Beneficio] que no puedes dejar pasar."</t>
  </si>
  <si>
    <t xml:space="preserve">"Solo 5 lugares para nuestra consulta gratuita de esta semana. Tu piel no puede esperar."</t>
  </si>
  <si>
    <t xml:space="preserve">Social Proof</t>
  </si>
  <si>
    <t xml:space="preserve">"[X] personas en [lugar] ya [resultado]. ¿Tú cuándo?."</t>
  </si>
  <si>
    <t xml:space="preserve">"847 pacientes en Monterrey ya recuperaron la confianza en su piel. ¿Tú cuándo?"</t>
  </si>
  <si>
    <t xml:space="preserve">  🏗️  ESTRUCTURAS DE COPY PROBADAS — FRAMEWORKS</t>
  </si>
  <si>
    <t xml:space="preserve">Framework</t>
  </si>
  <si>
    <t xml:space="preserve">Cuándo usarlo</t>
  </si>
  <si>
    <t xml:space="preserve">Estructura paso a paso</t>
  </si>
  <si>
    <t xml:space="preserve">Checklist</t>
  </si>
  <si>
    <t xml:space="preserve">AIDA</t>
  </si>
  <si>
    <t xml:space="preserve">Posts de venta directa, Ads</t>
  </si>
  <si>
    <t xml:space="preserve">A - ATENCIÓN: Hook impactante en línea 1
I - INTERÉS: Dato/historia que conecta
D - DESEO: Beneficio específico + prueba social
A - ACCIÓN: CTA claro y urgente</t>
  </si>
  <si>
    <t xml:space="preserve">✅ Hook en &lt;3 seg
✅ Beneficio antes de característica
✅ Un solo CTA
✅ Emojis estratégicos</t>
  </si>
  <si>
    <t xml:space="preserve">PAS</t>
  </si>
  <si>
    <t xml:space="preserve">Contenido educativo, problemas de audiencia</t>
  </si>
  <si>
    <t xml:space="preserve">P - PROBLEMA: Nombra el dolor exacto
A - AGITACIÓN: Amplifica las consecuencias
S - SOLUCIÓN: Presenta tu oferta como el alivio</t>
  </si>
  <si>
    <t xml:space="preserve">✅ El problema debe doler
✅ No resolverlo demasiado rápido
✅ Solución específica, no genérica</t>
  </si>
  <si>
    <t xml:space="preserve">PASTOR</t>
  </si>
  <si>
    <t xml:space="preserve">Copy largo, emails, Reels de &gt;60 seg</t>
  </si>
  <si>
    <t xml:space="preserve">P - Persona/Problema: ¿A quién hablas?
A - Amplify: ¿Qué pasa si no lo resuelve?
S - Story: Tu caso o el de un cliente
T - Transformation: El después
O - Offer: La propuesta
R - Response: El CTA</t>
  </si>
  <si>
    <t xml:space="preserve">✅ Persona definida
✅ Historia real
✅ Transformación cuantificable
✅ Oferta irresistible</t>
  </si>
  <si>
    <t xml:space="preserve">4Ps</t>
  </si>
  <si>
    <t xml:space="preserve">Carruseles, posts de valor</t>
  </si>
  <si>
    <t xml:space="preserve">P - Promise: Promesa del resultado
P - Picture: Visualización del éxito
P - Proof: Evidencia/testimonio
P - Push: Empuje a la acción</t>
  </si>
  <si>
    <t xml:space="preserve">✅ Promesa realista
✅ Imagen mental vívida
✅ Prueba verificable
✅ Urgencia genuina</t>
  </si>
  <si>
    <t xml:space="preserve">  📣  BANCO DE CTAs POR OBJETIVO</t>
  </si>
  <si>
    <t xml:space="preserve">Objetivo</t>
  </si>
  <si>
    <t xml:space="preserve">CTAs para Feed/Reel</t>
  </si>
  <si>
    <t xml:space="preserve">CTAs para Story</t>
  </si>
  <si>
    <t xml:space="preserve">CTAs para Ads</t>
  </si>
  <si>
    <t xml:space="preserve">💬 Comentarios</t>
  </si>
  <si>
    <t xml:space="preserve">"Cuéntanos en comentarios…"
"¿Tú qué opinas? 👇"
"Etiqueta a alguien que necesita esto"</t>
  </si>
  <si>
    <t xml:space="preserve">"Responde esta story 👇"
"Desliza y cuéntanos"</t>
  </si>
  <si>
    <t xml:space="preserve">"Comenta SÍ si quieres más info"</t>
  </si>
  <si>
    <t xml:space="preserve">🔗 Tráfico web</t>
  </si>
  <si>
    <t xml:space="preserve">"Link en bio para ver más →"
"Guarda este post para cuando lo necesites"</t>
  </si>
  <si>
    <t xml:space="preserve">"Desliza arriba →"
"Link en bio 🔗"</t>
  </si>
  <si>
    <t xml:space="preserve">"Haz clic para conocer más →"
"Ver oferta completa"</t>
  </si>
  <si>
    <t xml:space="preserve">📩 Leads / DM</t>
  </si>
  <si>
    <t xml:space="preserve">"Escríbenos GRATIS al DM para tu diagnóstico"
"Manda un DM con la palabra [X]"</t>
  </si>
  <si>
    <t xml:space="preserve">"Escríbenos aquí 👆"
"Responde con [palabra clave]"</t>
  </si>
  <si>
    <t xml:space="preserve">"Solicita tu cita gratis hoy →"
"Habla con un asesor ahora"</t>
  </si>
  <si>
    <t xml:space="preserve">❤️ Engagement</t>
  </si>
  <si>
    <t xml:space="preserve">"Guarda si te sirvió 💾"
"Comparte con quien lo necesite 🔁"</t>
  </si>
  <si>
    <t xml:space="preserve">"Vota aquí 👆"
"¿Cuál prefieres? →"</t>
  </si>
  <si>
    <t xml:space="preserve">"Dale me gusta si estás de acuerdo"</t>
  </si>
  <si>
    <t xml:space="preserve">🎯 Cotizador</t>
  </si>
  <si>
    <t xml:space="preserve">📋 Reporte</t>
  </si>
  <si>
    <t xml:space="preserve">💡 Ideas Hub</t>
  </si>
  <si>
    <t xml:space="preserve">📖 Guía</t>
  </si>
  <si>
    <t xml:space="preserve">🎯  COTIZADOR DE PROPUESTAS — PASCALL</t>
  </si>
  <si>
    <t xml:space="preserve">  📋  DATOS DEL CLIENTE</t>
  </si>
  <si>
    <t xml:space="preserve">Nombre del Cliente</t>
  </si>
  <si>
    <t xml:space="preserve">Industria / Giro</t>
  </si>
  <si>
    <t xml:space="preserve">Redes Sociales</t>
  </si>
  <si>
    <t xml:space="preserve">Meses de Contrato</t>
  </si>
  <si>
    <t xml:space="preserve">Inversión Publicitaria</t>
  </si>
  <si>
    <t xml:space="preserve">  ⚙️  SERVICIOS A CONTRATAR</t>
  </si>
  <si>
    <t xml:space="preserve">Incluir? (Sí/No)</t>
  </si>
  <si>
    <t xml:space="preserve">Hrs/Mes</t>
  </si>
  <si>
    <t xml:space="preserve">Precio Base $</t>
  </si>
  <si>
    <t xml:space="preserve">Precio Ajustado $</t>
  </si>
  <si>
    <t xml:space="preserve">Community Management</t>
  </si>
  <si>
    <t xml:space="preserve">Creación de Contenido (básico)</t>
  </si>
  <si>
    <t xml:space="preserve">Creación de Contenido (premium)</t>
  </si>
  <si>
    <t xml:space="preserve">Gestión de Ads (Meta/TikTok)</t>
  </si>
  <si>
    <t xml:space="preserve">Estrategia &amp; Consultoría</t>
  </si>
  <si>
    <t xml:space="preserve">Diseño Gráfico / Branding</t>
  </si>
  <si>
    <t xml:space="preserve">Email Marketing</t>
  </si>
  <si>
    <t xml:space="preserve">Reportes Mensuales</t>
  </si>
  <si>
    <t xml:space="preserve">  💰  RESUMEN DE PROPUESTA</t>
  </si>
  <si>
    <t xml:space="preserve">Servicios activos</t>
  </si>
  <si>
    <t xml:space="preserve">Horas/mes totales</t>
  </si>
  <si>
    <t xml:space="preserve">Honorarios mensuales</t>
  </si>
  <si>
    <t xml:space="preserve">Total mensual cliente</t>
  </si>
  <si>
    <t xml:space="preserve">Total contrato completo</t>
  </si>
  <si>
    <t xml:space="preserve">Tarifa por hora</t>
  </si>
  <si>
    <t xml:space="preserve">  🏆  PAQUETE RECOMENDADO</t>
  </si>
  <si>
    <t xml:space="preserve">📋  REPORTE MENSUAL — TEMPLATE PARA CLIENTE</t>
  </si>
  <si>
    <t xml:space="preserve">Cliente:</t>
  </si>
  <si>
    <t xml:space="preserve">Mes / Período:</t>
  </si>
  <si>
    <t xml:space="preserve">Junio 2026</t>
  </si>
  <si>
    <t xml:space="preserve">  📊  KPIs DEL MES</t>
  </si>
  <si>
    <t xml:space="preserve">👥 Seguidores Totales</t>
  </si>
  <si>
    <t xml:space="preserve">📣 Alcance Pagado</t>
  </si>
  <si>
    <t xml:space="preserve">📈 Nuevos Seguidores</t>
  </si>
  <si>
    <t xml:space="preserve">💵 Inversión Ads</t>
  </si>
  <si>
    <t xml:space="preserve">👁️ Alcance Orgánico</t>
  </si>
  <si>
    <t xml:space="preserve">💰 Retorno Generado</t>
  </si>
  <si>
    <t xml:space="preserve">💬 Engagement Rate</t>
  </si>
  <si>
    <t xml:space="preserve">📊 ROAS</t>
  </si>
  <si>
    <t xml:space="preserve">📱 Publicaciones</t>
  </si>
  <si>
    <t xml:space="preserve">🔗 Clics al Perfil</t>
  </si>
  <si>
    <t xml:space="preserve">💲 CPL (Costo/Lead)</t>
  </si>
  <si>
    <t xml:space="preserve">  🏆  TOP CONTENIDOS DEL MES</t>
  </si>
  <si>
    <t xml:space="preserve">Publicación</t>
  </si>
  <si>
    <t xml:space="preserve">[Contenido #1 — llenar]</t>
  </si>
  <si>
    <t xml:space="preserve">[Contenido #2 — llenar]</t>
  </si>
  <si>
    <t xml:space="preserve">[Contenido #3 — llenar]</t>
  </si>
  <si>
    <t xml:space="preserve">  💡  ANÁLISIS Y RECOMENDACIONES</t>
  </si>
  <si>
    <t xml:space="preserve">✅ Lo que funcionó este mes:</t>
  </si>
  <si>
    <t xml:space="preserve">[Escribe aquí...]</t>
  </si>
  <si>
    <t xml:space="preserve">⚠️ Áreas de oportunidad:</t>
  </si>
  <si>
    <t xml:space="preserve">🎯 Plan de acción siguiente mes:</t>
  </si>
  <si>
    <t xml:space="preserve">📅 Próximas fechas clave:</t>
  </si>
  <si>
    <t xml:space="preserve">  🚦  SEMÁFORO DE OBJETIVOS</t>
  </si>
  <si>
    <t xml:space="preserve">Engagement ≥ 4%</t>
  </si>
  <si>
    <t xml:space="preserve">⬜ Pendiente</t>
  </si>
  <si>
    <t xml:space="preserve">Crecimiento seg ≥ 2%</t>
  </si>
  <si>
    <t xml:space="preserve">ROAS ≥ 3x</t>
  </si>
  <si>
    <t xml:space="preserve">CPL ≤ $100 MXN</t>
  </si>
  <si>
    <t xml:space="preserve">💡  IDEAS HUB — BANCO DE CONTENIDO</t>
  </si>
  <si>
    <t xml:space="preserve">100+ ideas organizadas por industria, formato y objetivo. Edita y expande tu banco.</t>
  </si>
  <si>
    <t xml:space="preserve">Idea de Contenido</t>
  </si>
  <si>
    <t xml:space="preserve">Hook de Apertura</t>
  </si>
  <si>
    <t xml:space="preserve">Antes y después de tratamiento facial</t>
  </si>
  <si>
    <t xml:space="preserve">Salud/Clínica</t>
  </si>
  <si>
    <t xml:space="preserve">Reel</t>
  </si>
  <si>
    <t xml:space="preserve">Awareness</t>
  </si>
  <si>
    <t xml:space="preserve">¿Cómo luce tu piel después de solo 1 sesión? 👀</t>
  </si>
  <si>
    <t xml:space="preserve">🔥 Alta</t>
  </si>
  <si>
    <t xml:space="preserve">5 errores que dañan tu piel sin saberlo</t>
  </si>
  <si>
    <t xml:space="preserve">Educación</t>
  </si>
  <si>
    <t xml:space="preserve">El error #1 que cometes cada mañana con tu piel…</t>
  </si>
  <si>
    <t xml:space="preserve">Rutina de skincare en 60 segundos</t>
  </si>
  <si>
    <t xml:space="preserve">Engagement</t>
  </si>
  <si>
    <t xml:space="preserve">Yo en la mañana vs. yo después de este tip 😂</t>
  </si>
  <si>
    <t xml:space="preserve">Mitos y verdades sobre el acné</t>
  </si>
  <si>
    <t xml:space="preserve">Lo que nadie te dice sobre el acné en adultos...</t>
  </si>
  <si>
    <t xml:space="preserve">🟡 Media</t>
  </si>
  <si>
    <t xml:space="preserve">Testimonial de paciente satisfecho</t>
  </si>
  <si>
    <t xml:space="preserve">Video</t>
  </si>
  <si>
    <t xml:space="preserve">Ventas</t>
  </si>
  <si>
    <t xml:space="preserve">Ella no creía que funcionaría. Mira lo que pasó.</t>
  </si>
  <si>
    <t xml:space="preserve">Tour por las instalaciones</t>
  </si>
  <si>
    <t xml:space="preserve">Confianza</t>
  </si>
  <si>
    <t xml:space="preserve">Por eso nuestros pacientes se sienten en casa 🏥</t>
  </si>
  <si>
    <t xml:space="preserve">Ingrediente del mes: explicación derma</t>
  </si>
  <si>
    <t xml:space="preserve">¿Sabes qué le hace el retinol a tu piel realmente?</t>
  </si>
  <si>
    <t xml:space="preserve">Checklist de cuidado solar verano</t>
  </si>
  <si>
    <t xml:space="preserve">Utilidad</t>
  </si>
  <si>
    <t xml:space="preserve">El verano ya llegó. ¿Está tu piel lista?</t>
  </si>
  <si>
    <t xml:space="preserve">Making of de un platillo estrella</t>
  </si>
  <si>
    <t xml:space="preserve">Restaurante</t>
  </si>
  <si>
    <t xml:space="preserve">Así nace nuestro plato más pedido. 🍽️</t>
  </si>
  <si>
    <t xml:space="preserve">¿Qué pide el chef cuando nadie lo ve?</t>
  </si>
  <si>
    <t xml:space="preserve">Entretenimiento</t>
  </si>
  <si>
    <t xml:space="preserve">El chef tiene un plato favorito y no es el que crees…</t>
  </si>
  <si>
    <t xml:space="preserve">Receta fácil en casa (versión simplificada)</t>
  </si>
  <si>
    <t xml:space="preserve">Aprende a hacer nuestra salsa secreta en 5 pasos</t>
  </si>
  <si>
    <t xml:space="preserve">Detrás de cámaras: preparación del día</t>
  </si>
  <si>
    <t xml:space="preserve">Humanización</t>
  </si>
  <si>
    <t xml:space="preserve">Nadie te muestra esto a las 6am en una cocina…</t>
  </si>
  <si>
    <t xml:space="preserve">3 maridajes que no conocías de tu menú</t>
  </si>
  <si>
    <t xml:space="preserve">¿Qué vino va con esto? Spoiler: no es el que piensas</t>
  </si>
  <si>
    <t xml:space="preserve">Reseña de cliente (video UGC)</t>
  </si>
  <si>
    <t xml:space="preserve">Él llegó por recomendación. Ahora viene cada semana.</t>
  </si>
  <si>
    <t xml:space="preserve">Menú del fin de semana — anticipo</t>
  </si>
  <si>
    <t xml:space="preserve">Este finde tenemos algo especial. Te doy una pista…</t>
  </si>
  <si>
    <t xml:space="preserve">El origen de tu ingrediente principal</t>
  </si>
  <si>
    <t xml:space="preserve">¿Sabes de dónde viene lo que comes?</t>
  </si>
  <si>
    <t xml:space="preserve">🟢 Baja</t>
  </si>
  <si>
    <t xml:space="preserve">Transformación de 90 días de alumno</t>
  </si>
  <si>
    <t xml:space="preserve">Fitness</t>
  </si>
  <si>
    <t xml:space="preserve">Inspiración</t>
  </si>
  <si>
    <t xml:space="preserve">90 días pueden cambiar todo. Aquí la prueba. 💪</t>
  </si>
  <si>
    <t xml:space="preserve">Ejercicio de la semana (tutorial)</t>
  </si>
  <si>
    <t xml:space="preserve">¿Haces mal este ejercicio? El 80% sí. Corrígelo.</t>
  </si>
  <si>
    <t xml:space="preserve">Plan de entrenamiento semanal gratuito</t>
  </si>
  <si>
    <t xml:space="preserve">Te doy mi plan de 5 días. Solo guárdalo 👇</t>
  </si>
  <si>
    <t xml:space="preserve">Mitos del gym que debes dejar de creer</t>
  </si>
  <si>
    <t xml:space="preserve">¿Cardio en ayunas quema más grasa? La verdad te sorprende</t>
  </si>
  <si>
    <t xml:space="preserve">Un día en la vida de un entrenador</t>
  </si>
  <si>
    <t xml:space="preserve">¿Quieres saber cómo entrena un coach de fitness?</t>
  </si>
  <si>
    <t xml:space="preserve">Receta fitness: comer rico sin culpa</t>
  </si>
  <si>
    <t xml:space="preserve">Proteínas, sabor y 0 culpa. Esta receta te cambia la vida</t>
  </si>
  <si>
    <t xml:space="preserve">Clase de prueba gratis (lead magnet)</t>
  </si>
  <si>
    <t xml:space="preserve">Primera clase GRATIS. ¿Te apuntas? Responde 'SÍ' 🔥</t>
  </si>
  <si>
    <t xml:space="preserve">Progreso de atleta: semana a semana</t>
  </si>
  <si>
    <t xml:space="preserve">Semana 1 vs Semana 8. Los números hablan solos.</t>
  </si>
  <si>
    <t xml:space="preserve">Outfit del día con pieza de temporada</t>
  </si>
  <si>
    <t xml:space="preserve">Moda/Boutique</t>
  </si>
  <si>
    <t xml:space="preserve">Cómo usar una sola pieza de 5 formas diferentes 👗</t>
  </si>
  <si>
    <t xml:space="preserve">Haul de llegada de nueva colección</t>
  </si>
  <si>
    <t xml:space="preserve">¡LLEGÓ! La colección que estaban esperando 🛍️</t>
  </si>
  <si>
    <t xml:space="preserve">Guía de tallas: cómo encontrar la tuya</t>
  </si>
  <si>
    <t xml:space="preserve">Nunca más compres la talla equivocada. Guía completa.</t>
  </si>
  <si>
    <t xml:space="preserve">Behind the scenes: cómo curamos el look</t>
  </si>
  <si>
    <t xml:space="preserve">Así elegimos las piezas que llegan a tienda.</t>
  </si>
  <si>
    <t xml:space="preserve">3 outfits para 3 ocasiones diferentes</t>
  </si>
  <si>
    <t xml:space="preserve">Un clóset pequeño puede hacer grandes outfits. Te enseño.</t>
  </si>
  <si>
    <t xml:space="preserve">Reseña de clienta con look completo</t>
  </si>
  <si>
    <t xml:space="preserve">Ella escogió este look y literalmente no se lo quitó.</t>
  </si>
  <si>
    <t xml:space="preserve">FAQ de clientes más frecuentes</t>
  </si>
  <si>
    <t xml:space="preserve">Me preguntan esto TODO el tiempo. Respuesta honesta:</t>
  </si>
  <si>
    <t xml:space="preserve">Encuesta interactiva: ¿qué prefieres?</t>
  </si>
  <si>
    <t xml:space="preserve">A vs B. ¿Tú cuál elegirías?</t>
  </si>
  <si>
    <t xml:space="preserve">Colaboración con influencer local</t>
  </si>
  <si>
    <t xml:space="preserve">Le pedí a @influencer que lo probara sin filtros.</t>
  </si>
  <si>
    <t xml:space="preserve">Proceso de trabajo detrás de cámaras</t>
  </si>
  <si>
    <t xml:space="preserve">Lo que pasa antes de que llegue a tus manos.</t>
  </si>
  <si>
    <t xml:space="preserve">Tip de la semana en formato educativo</t>
  </si>
  <si>
    <t xml:space="preserve">Tip rápido: esto te ahorra tiempo/dinero/esfuerzo 💡</t>
  </si>
  <si>
    <t xml:space="preserve">Celebración de fecha especial + oferta</t>
  </si>
  <si>
    <t xml:space="preserve">¡Hoy celebramos! Y tú te llevas la mejor parte. 🎉</t>
  </si>
  <si>
    <t xml:space="preserve">Unboxing / reveal de nuevo producto/servicio</t>
  </si>
  <si>
    <t xml:space="preserve">No te puedo decir qué es todavía… pero mañana lo sabrás.</t>
  </si>
  <si>
    <t xml:space="preserve">Estadística sorprendente de tu industria</t>
  </si>
  <si>
    <t xml:space="preserve">El 70% de las personas no sabe esto sobre [tu industria]</t>
  </si>
  <si>
    <t xml:space="preserve">📖  GUÍA DE USO — PASCALL Social Media Command Center</t>
  </si>
  <si>
    <t xml:space="preserve">Vista ejecutiva. Los KPIs se actualizan automáticamente desde las otras hojas. No editar celdas azules.</t>
  </si>
  <si>
    <t xml:space="preserve">Agrega cada publicación: cliente, fecha, plataforma, formato y estado. Usa los filtros de columna para ver por cliente.</t>
  </si>
  <si>
    <t xml:space="preserve">Ingresa ingresos y gastos en la tabla mensual (filas 19–30). El detalle por cliente actualiza el resumen automáticamente.</t>
  </si>
  <si>
    <t xml:space="preserve">Registra cada contacto o colaboración. Actualiza el 'Estado' conforme avanza la relación. Prioriza con Alta/Media/Baja.</t>
  </si>
  <si>
    <t xml:space="preserve">Directorio central. Un registro por cliente. Los datos aquí alimentan el Dashboard.</t>
  </si>
  <si>
    <t xml:space="preserve">Ingresa las métricas de cada cuenta cada mes. Permite comparar rendimiento entre clientes y plataformas.</t>
  </si>
  <si>
    <t xml:space="preserve">⚠️ REGLAS DE ORO</t>
  </si>
  <si>
    <t xml:space="preserve">1. No borrar filas de encabezado</t>
  </si>
  <si>
    <t xml:space="preserve">Las fórmulas del Dashboard dependen de la estructura de cada hoja.</t>
  </si>
  <si>
    <t xml:space="preserve">2. Usar los desplegables</t>
  </si>
  <si>
    <t xml:space="preserve">Plataforma, Estado, Prioridad tienen listas — no escribir a mano para mantener filtros consistentes.</t>
  </si>
  <si>
    <t xml:space="preserve">3. Ingresos en MXN</t>
  </si>
  <si>
    <t xml:space="preserve">Todo el centro financiero trabaja en pesos mexicanos. Convertir antes de ingresar si es en USD.</t>
  </si>
  <si>
    <t xml:space="preserve">4. Un cliente = una fila</t>
  </si>
  <si>
    <t xml:space="preserve">En 🏢 Clientes, cada empresa tiene una sola fila. En 📅 Calendario y 📈 Métricas puede repetirse.</t>
  </si>
  <si>
    <t xml:space="preserve">🚀 Desarrollado por</t>
  </si>
  <si>
    <t xml:space="preserve">PASCALL Group — Monterrey, México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</si>
</sst>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"/>
    <numFmt numFmtId="166" formatCode="0.0\x"/>
    <numFmt numFmtId="167" formatCode="0.0%"/>
    <numFmt numFmtId="168" formatCode="#,##0"/>
    <numFmt numFmtId="169" formatCode="dd/mmm/yyyy"/>
    <numFmt numFmtId="170" formatCode="0%"/>
    <numFmt numFmtId="171" formatCode="\$#,##0;&quot;($&quot;#,##0\);\-"/>
    <numFmt numFmtId="172" formatCode="0.00"/>
    <numFmt numFmtId="173" formatCode="#,##0.00"/>
    <numFmt numFmtId="174" formatCode="0.0"/>
    <numFmt numFmtId="175" formatCode="\$#,##0.00"/>
    <numFmt numFmtId="176" formatCode="0.00\x"/>
  </numFmts>
  <fonts count="6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9FAFB"/>
      <name val="Arial"/>
      <family val="0"/>
      <charset val="1"/>
    </font>
    <font>
      <b val="true"/>
      <u val="single"/>
      <sz val="9"/>
      <color rgb="FFA78BFA"/>
      <name val="Arial"/>
      <family val="0"/>
      <charset val="1"/>
    </font>
    <font>
      <b val="true"/>
      <sz val="20"/>
      <color rgb="FFF9FAFB"/>
      <name val="Arial"/>
      <family val="0"/>
      <charset val="1"/>
    </font>
    <font>
      <sz val="10"/>
      <color rgb="FF6B7280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20"/>
      <color rgb="FFA78BFA"/>
      <name val="Arial"/>
      <family val="0"/>
      <charset val="1"/>
    </font>
    <font>
      <b val="true"/>
      <sz val="20"/>
      <color rgb="FF10B981"/>
      <name val="Arial"/>
      <family val="0"/>
      <charset val="1"/>
    </font>
    <font>
      <b val="true"/>
      <sz val="20"/>
      <color rgb="FF3B82F6"/>
      <name val="Arial"/>
      <family val="0"/>
      <charset val="1"/>
    </font>
    <font>
      <b val="true"/>
      <sz val="20"/>
      <color rgb="FFF59E0B"/>
      <name val="Arial"/>
      <family val="0"/>
      <charset val="1"/>
    </font>
    <font>
      <b val="true"/>
      <sz val="20"/>
      <color rgb="FFEF4444"/>
      <name val="Arial"/>
      <family val="0"/>
      <charset val="1"/>
    </font>
    <font>
      <b val="true"/>
      <sz val="13"/>
      <color rgb="FFA78BFA"/>
      <name val="Arial"/>
      <family val="0"/>
      <charset val="1"/>
    </font>
    <font>
      <b val="true"/>
      <sz val="10"/>
      <color rgb="FFA78BFA"/>
      <name val="Arial"/>
      <family val="0"/>
      <charset val="1"/>
    </font>
    <font>
      <sz val="10"/>
      <color rgb="FFF9FAFB"/>
      <name val="Arial"/>
      <family val="0"/>
      <charset val="1"/>
    </font>
    <font>
      <b val="true"/>
      <sz val="10"/>
      <color rgb="FF10B981"/>
      <name val="Arial"/>
      <family val="0"/>
      <charset val="1"/>
    </font>
    <font>
      <b val="true"/>
      <sz val="10"/>
      <color rgb="FFF59E0B"/>
      <name val="Arial"/>
      <family val="0"/>
      <charset val="1"/>
    </font>
    <font>
      <b val="true"/>
      <sz val="12"/>
      <color rgb="FFA78BFA"/>
      <name val="Arial"/>
      <family val="0"/>
      <charset val="1"/>
    </font>
    <font>
      <b val="true"/>
      <sz val="10"/>
      <color rgb="FFF9FAFB"/>
      <name val="Arial"/>
      <family val="0"/>
      <charset val="1"/>
    </font>
    <font>
      <b val="true"/>
      <sz val="11"/>
      <color rgb="FFA78BFA"/>
      <name val="Arial"/>
      <family val="0"/>
      <charset val="1"/>
    </font>
    <font>
      <sz val="10"/>
      <color rgb="FF10B981"/>
      <name val="Arial"/>
      <family val="0"/>
      <charset val="1"/>
    </font>
    <font>
      <sz val="10"/>
      <color rgb="FFF59E0B"/>
      <name val="Arial"/>
      <family val="0"/>
      <charset val="1"/>
    </font>
    <font>
      <b val="true"/>
      <sz val="11"/>
      <color rgb="FF3B82F6"/>
      <name val="Arial"/>
      <family val="0"/>
      <charset val="1"/>
    </font>
    <font>
      <sz val="8"/>
      <color rgb="FF3B82F6"/>
      <name val="Arial"/>
      <family val="0"/>
      <charset val="1"/>
    </font>
    <font>
      <sz val="8"/>
      <color rgb="FFA78BFA"/>
      <name val="Arial"/>
      <family val="0"/>
      <charset val="1"/>
    </font>
    <font>
      <b val="true"/>
      <sz val="11"/>
      <color rgb="FFF59E0B"/>
      <name val="Arial"/>
      <family val="0"/>
      <charset val="1"/>
    </font>
    <font>
      <sz val="8"/>
      <color rgb="FFF59E0B"/>
      <name val="Arial"/>
      <family val="0"/>
      <charset val="1"/>
    </font>
    <font>
      <b val="true"/>
      <sz val="11"/>
      <color rgb="FF10B981"/>
      <name val="Arial"/>
      <family val="0"/>
      <charset val="1"/>
    </font>
    <font>
      <sz val="8"/>
      <color rgb="FF10B981"/>
      <name val="Arial"/>
      <family val="0"/>
      <charset val="1"/>
    </font>
    <font>
      <b val="true"/>
      <sz val="16"/>
      <color rgb="FFF9FAFB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6B7280"/>
      <name val="Arial"/>
      <family val="0"/>
      <charset val="1"/>
    </font>
    <font>
      <b val="true"/>
      <sz val="10"/>
      <color rgb="FF3B82F6"/>
      <name val="Arial"/>
      <family val="0"/>
      <charset val="1"/>
    </font>
    <font>
      <sz val="10"/>
      <color rgb="FF3B82F6"/>
      <name val="Arial"/>
      <family val="0"/>
      <charset val="1"/>
    </font>
    <font>
      <sz val="9"/>
      <color rgb="FF10B981"/>
      <name val="Arial"/>
      <family val="0"/>
      <charset val="1"/>
    </font>
    <font>
      <sz val="10"/>
      <color rgb="FFA78BFA"/>
      <name val="Arial"/>
      <family val="0"/>
      <charset val="1"/>
    </font>
    <font>
      <b val="true"/>
      <sz val="14"/>
      <color rgb="FFF59E0B"/>
      <name val="Arial"/>
      <family val="0"/>
      <charset val="1"/>
    </font>
    <font>
      <b val="true"/>
      <sz val="18"/>
      <color rgb="FFA78BFA"/>
      <name val="Arial"/>
      <family val="0"/>
      <charset val="1"/>
    </font>
    <font>
      <b val="true"/>
      <sz val="10"/>
      <color rgb="FFEF4444"/>
      <name val="Arial"/>
      <family val="0"/>
      <charset val="1"/>
    </font>
    <font>
      <sz val="9"/>
      <color rgb="FFF9FAFB"/>
      <name val="Arial"/>
      <family val="0"/>
      <charset val="1"/>
    </font>
    <font>
      <sz val="12"/>
      <color rgb="FFF59E0B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9"/>
      <color rgb="FFA78BFA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i val="true"/>
      <sz val="10"/>
      <color rgb="FFA78BFA"/>
      <name val="Arial"/>
      <family val="0"/>
      <charset val="1"/>
    </font>
    <font>
      <b val="true"/>
      <sz val="18"/>
      <color rgb="FFF9FAFB"/>
      <name val="Arial"/>
      <family val="0"/>
      <charset val="1"/>
    </font>
    <font>
      <b val="true"/>
      <sz val="10"/>
      <color rgb="FFFBBF24"/>
      <name val="Arial"/>
      <family val="0"/>
      <charset val="1"/>
    </font>
    <font>
      <b val="true"/>
      <sz val="9"/>
      <color rgb="FF10B981"/>
      <name val="Arial"/>
      <family val="0"/>
      <charset val="1"/>
    </font>
    <font>
      <sz val="9"/>
      <color rgb="FFFBBF24"/>
      <name val="Arial"/>
      <family val="0"/>
      <charset val="1"/>
    </font>
    <font>
      <b val="true"/>
      <sz val="14"/>
      <color rgb="FFA78BFA"/>
      <name val="Arial"/>
      <family val="0"/>
      <charset val="1"/>
    </font>
    <font>
      <b val="true"/>
      <sz val="14"/>
      <color rgb="FFFBBF24"/>
      <name val="Arial"/>
      <family val="0"/>
      <charset val="1"/>
    </font>
    <font>
      <b val="true"/>
      <sz val="14"/>
      <color rgb="FF10B981"/>
      <name val="Arial"/>
      <family val="0"/>
      <charset val="1"/>
    </font>
    <font>
      <b val="true"/>
      <sz val="14"/>
      <color rgb="FF3B82F6"/>
      <name val="Arial"/>
      <family val="0"/>
      <charset val="1"/>
    </font>
    <font>
      <b val="true"/>
      <sz val="14"/>
      <color rgb="FFF9FAFB"/>
      <name val="Arial"/>
      <family val="0"/>
      <charset val="1"/>
    </font>
    <font>
      <b val="true"/>
      <sz val="11"/>
      <color rgb="FFFBBF24"/>
      <name val="Arial"/>
      <family val="0"/>
      <charset val="1"/>
    </font>
    <font>
      <b val="true"/>
      <sz val="16"/>
      <color rgb="FFA78BFA"/>
      <name val="Arial"/>
      <family val="0"/>
      <charset val="1"/>
    </font>
    <font>
      <b val="true"/>
      <sz val="16"/>
      <color rgb="FF3B82F6"/>
      <name val="Arial"/>
      <family val="0"/>
      <charset val="1"/>
    </font>
    <font>
      <b val="true"/>
      <sz val="16"/>
      <color rgb="FF10B981"/>
      <name val="Arial"/>
      <family val="0"/>
      <charset val="1"/>
    </font>
    <font>
      <b val="true"/>
      <sz val="16"/>
      <color rgb="FFEF4444"/>
      <name val="Arial"/>
      <family val="0"/>
      <charset val="1"/>
    </font>
    <font>
      <b val="true"/>
      <sz val="16"/>
      <color rgb="FFFBBF24"/>
      <name val="Arial"/>
      <family val="0"/>
      <charset val="1"/>
    </font>
    <font>
      <b val="true"/>
      <sz val="16"/>
      <color rgb="FF0EA5E9"/>
      <name val="Arial"/>
      <family val="0"/>
      <charset val="1"/>
    </font>
    <font>
      <b val="true"/>
      <sz val="8"/>
      <color rgb="FF6B7280"/>
      <name val="Arial"/>
      <family val="0"/>
      <charset val="1"/>
    </font>
    <font>
      <b val="true"/>
      <sz val="9"/>
      <color rgb="FFFBBF24"/>
      <name val="Arial"/>
      <family val="0"/>
      <charset val="1"/>
    </font>
    <font>
      <b val="true"/>
      <sz val="15"/>
      <color rgb="FFF9FAFB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A0D12"/>
        <bgColor rgb="FF0D1117"/>
      </patternFill>
    </fill>
    <fill>
      <patternFill patternType="solid">
        <fgColor rgb="FF7C3AED"/>
        <bgColor rgb="FF993366"/>
      </patternFill>
    </fill>
    <fill>
      <patternFill patternType="solid">
        <fgColor rgb="FF0D1117"/>
        <bgColor rgb="FF0A0D12"/>
      </patternFill>
    </fill>
    <fill>
      <patternFill patternType="solid">
        <fgColor rgb="FF161B22"/>
        <bgColor rgb="FF1A2332"/>
      </patternFill>
    </fill>
    <fill>
      <patternFill patternType="solid">
        <fgColor rgb="FFA78BFA"/>
        <bgColor rgb="FFCC99FF"/>
      </patternFill>
    </fill>
    <fill>
      <patternFill patternType="solid">
        <fgColor rgb="FF10B981"/>
        <bgColor rgb="FF33CCCC"/>
      </patternFill>
    </fill>
    <fill>
      <patternFill patternType="solid">
        <fgColor rgb="FF3B82F6"/>
        <bgColor rgb="FF0EA5E9"/>
      </patternFill>
    </fill>
    <fill>
      <patternFill patternType="solid">
        <fgColor rgb="FFF59E0B"/>
        <bgColor rgb="FFFB923C"/>
      </patternFill>
    </fill>
    <fill>
      <patternFill patternType="solid">
        <fgColor rgb="FFEF4444"/>
        <bgColor rgb="FF993366"/>
      </patternFill>
    </fill>
    <fill>
      <patternFill patternType="solid">
        <fgColor rgb="FF1F2937"/>
        <bgColor rgb="FF1A2332"/>
      </patternFill>
    </fill>
    <fill>
      <patternFill patternType="solid">
        <fgColor rgb="FF1C1A0A"/>
        <bgColor rgb="FF161B22"/>
      </patternFill>
    </fill>
    <fill>
      <patternFill patternType="solid">
        <fgColor rgb="FF1A2332"/>
        <bgColor rgb="FF1F293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1F2937"/>
      </left>
      <right style="thin">
        <color rgb="FF1F2937"/>
      </right>
      <top/>
      <bottom/>
      <diagonal/>
    </border>
    <border diagonalUp="false" diagonalDown="false"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  <border diagonalUp="false" diagonalDown="false">
      <left/>
      <right/>
      <top/>
      <bottom style="medium">
        <color rgb="FF7C3A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8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48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8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3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5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1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9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52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3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2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5" fontId="5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8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6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5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5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5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6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6" fontId="6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3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62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3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3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3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2" fillId="1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2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4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4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9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5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9FAF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D1117"/>
      <rgbColor rgb="FF808000"/>
      <rgbColor rgb="FF800080"/>
      <rgbColor rgb="FF008080"/>
      <rgbColor rgb="FFC0C0C0"/>
      <rgbColor rgb="FF808080"/>
      <rgbColor rgb="FFA78BFA"/>
      <rgbColor rgb="FF7C3AED"/>
      <rgbColor rgb="FFFFFFCC"/>
      <rgbColor rgb="FFCCFFFF"/>
      <rgbColor rgb="FF660066"/>
      <rgbColor rgb="FFFB923C"/>
      <rgbColor rgb="FF0066CC"/>
      <rgbColor rgb="FFCCCCFF"/>
      <rgbColor rgb="FF0A0D12"/>
      <rgbColor rgb="FFFF00FF"/>
      <rgbColor rgb="FFFFFF00"/>
      <rgbColor rgb="FF00FFFF"/>
      <rgbColor rgb="FF800080"/>
      <rgbColor rgb="FF800000"/>
      <rgbColor rgb="FF008080"/>
      <rgbColor rgb="FF0000FF"/>
      <rgbColor rgb="FF0EA5E9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BBF24"/>
      <rgbColor rgb="FFF59E0B"/>
      <rgbColor rgb="FFEF4444"/>
      <rgbColor rgb="FF6B7280"/>
      <rgbColor rgb="FF969696"/>
      <rgbColor rgb="FF1A2332"/>
      <rgbColor rgb="FF10B981"/>
      <rgbColor rgb="FF161B22"/>
      <rgbColor rgb="FF1F2937"/>
      <rgbColor rgb="FF993300"/>
      <rgbColor rgb="FF993366"/>
      <rgbColor rgb="FF1C1A0A"/>
      <rgbColor rgb="FF3036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PASCALL_SMM_Pro_v2.xlsx" TargetMode="External"/><Relationship Id="rId2" Type="http://schemas.openxmlformats.org/officeDocument/2006/relationships/hyperlink" Target="PASCALL_SMM_Pro_v2.xlsx" TargetMode="External"/><Relationship Id="rId3" Type="http://schemas.openxmlformats.org/officeDocument/2006/relationships/hyperlink" Target="PASCALL_SMM_Pro_v2.xlsx" TargetMode="External"/><Relationship Id="rId4" Type="http://schemas.openxmlformats.org/officeDocument/2006/relationships/hyperlink" Target="PASCALL_SMM_Pro_v2.xlsx" TargetMode="External"/><Relationship Id="rId5" Type="http://schemas.openxmlformats.org/officeDocument/2006/relationships/hyperlink" Target="PASCALL_SMM_Pro_v2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PASCALL_SMM_Pro_v2.xlsx" TargetMode="External"/><Relationship Id="rId2" Type="http://schemas.openxmlformats.org/officeDocument/2006/relationships/hyperlink" Target="PASCALL_SMM_Pro_v2.xlsx" TargetMode="External"/><Relationship Id="rId3" Type="http://schemas.openxmlformats.org/officeDocument/2006/relationships/hyperlink" Target="PASCALL_SMM_Pro_v2.xlsx" TargetMode="External"/><Relationship Id="rId4" Type="http://schemas.openxmlformats.org/officeDocument/2006/relationships/hyperlink" Target="PASCALL_SMM_Pro_v2.xlsx" TargetMode="External"/><Relationship Id="rId5" Type="http://schemas.openxmlformats.org/officeDocument/2006/relationships/hyperlink" Target="PASCALL_SMM_Pro_v2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PASCALL_SMM_Pro_v2.xlsx" TargetMode="External"/><Relationship Id="rId2" Type="http://schemas.openxmlformats.org/officeDocument/2006/relationships/hyperlink" Target="PASCALL_SMM_Pro_v2.xlsx" TargetMode="External"/><Relationship Id="rId3" Type="http://schemas.openxmlformats.org/officeDocument/2006/relationships/hyperlink" Target="PASCALL_SMM_Pro_v2.xlsx" TargetMode="External"/><Relationship Id="rId4" Type="http://schemas.openxmlformats.org/officeDocument/2006/relationships/hyperlink" Target="PASCALL_SMM_Pro_v2.xlsx" TargetMode="External"/><Relationship Id="rId5" Type="http://schemas.openxmlformats.org/officeDocument/2006/relationships/hyperlink" Target="PASCALL_SMM_Pro_v2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PASCALL_SMM_Pro_v2.xlsx" TargetMode="External"/><Relationship Id="rId2" Type="http://schemas.openxmlformats.org/officeDocument/2006/relationships/hyperlink" Target="PASCALL_SMM_Pro_v2.xlsx" TargetMode="External"/><Relationship Id="rId3" Type="http://schemas.openxmlformats.org/officeDocument/2006/relationships/hyperlink" Target="PASCALL_SMM_Pro_v2.xlsx" TargetMode="External"/><Relationship Id="rId4" Type="http://schemas.openxmlformats.org/officeDocument/2006/relationships/hyperlink" Target="PASCALL_SMM_Pro_v2.xlsx" TargetMode="External"/><Relationship Id="rId5" Type="http://schemas.openxmlformats.org/officeDocument/2006/relationships/hyperlink" Target="PASCALL_SMM_Pro_v2.xls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PASCALL_SMM_Pro_v2.xlsx" TargetMode="External"/><Relationship Id="rId2" Type="http://schemas.openxmlformats.org/officeDocument/2006/relationships/hyperlink" Target="PASCALL_SMM_Pro_v2.xlsx" TargetMode="External"/><Relationship Id="rId3" Type="http://schemas.openxmlformats.org/officeDocument/2006/relationships/hyperlink" Target="PASCALL_SMM_Pro_v2.xlsx" TargetMode="External"/><Relationship Id="rId4" Type="http://schemas.openxmlformats.org/officeDocument/2006/relationships/hyperlink" Target="PASCALL_SMM_Pro_v2.xlsx" TargetMode="External"/><Relationship Id="rId5" Type="http://schemas.openxmlformats.org/officeDocument/2006/relationships/hyperlink" Target="PASCALL_SMM_Pro_v2.xls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PASCALL_SMM_Pro_v2.xlsx" TargetMode="External"/><Relationship Id="rId2" Type="http://schemas.openxmlformats.org/officeDocument/2006/relationships/hyperlink" Target="PASCALL_SMM_Pro_v2.xlsx" TargetMode="External"/><Relationship Id="rId3" Type="http://schemas.openxmlformats.org/officeDocument/2006/relationships/hyperlink" Target="PASCALL_SMM_Pro_v2.xlsx" TargetMode="External"/><Relationship Id="rId4" Type="http://schemas.openxmlformats.org/officeDocument/2006/relationships/hyperlink" Target="PASCALL_SMM_Pro_v2.xlsx" TargetMode="External"/><Relationship Id="rId5" Type="http://schemas.openxmlformats.org/officeDocument/2006/relationships/hyperlink" Target="PASCALL_SMM_Pro_v2.xlsx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PASCALL_SMM_Pro_v2.xlsx" TargetMode="External"/><Relationship Id="rId2" Type="http://schemas.openxmlformats.org/officeDocument/2006/relationships/hyperlink" Target="PASCALL_SMM_Pro_v2.xlsx" TargetMode="External"/><Relationship Id="rId3" Type="http://schemas.openxmlformats.org/officeDocument/2006/relationships/hyperlink" Target="PASCALL_SMM_Pro_v2.xlsx" TargetMode="External"/><Relationship Id="rId4" Type="http://schemas.openxmlformats.org/officeDocument/2006/relationships/hyperlink" Target="PASCALL_SMM_Pro_v2.xlsx" TargetMode="External"/><Relationship Id="rId5" Type="http://schemas.openxmlformats.org/officeDocument/2006/relationships/hyperlink" Target="PASCALL_SMM_Pro_v2.xlsx" TargetMode="External"/><Relationship Id="rId6" Type="http://schemas.openxmlformats.org/officeDocument/2006/relationships/hyperlink" Target="PASCALL_SMM_Pro_v2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T8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6" min="3" style="1" width="14"/>
    <col collapsed="false" customWidth="true" hidden="false" outlineLevel="0" max="7" min="7" style="1" width="2"/>
    <col collapsed="false" customWidth="true" hidden="false" outlineLevel="0" max="8" min="8" style="1" width="18"/>
    <col collapsed="false" customWidth="true" hidden="false" outlineLevel="0" max="12" min="9" style="1" width="14"/>
    <col collapsed="false" customWidth="true" hidden="false" outlineLevel="0" max="13" min="13" style="1" width="2"/>
    <col collapsed="false" customWidth="true" hidden="false" outlineLevel="0" max="14" min="14" style="1" width="18"/>
    <col collapsed="false" customWidth="true" hidden="false" outlineLevel="0" max="15" min="15" style="1" width="14"/>
  </cols>
  <sheetData>
    <row r="1" customFormat="false" ht="21.75" hidden="false" customHeight="true" outlineLevel="0" collapsed="false">
      <c r="A1" s="2"/>
      <c r="B1" s="3" t="s">
        <v>0</v>
      </c>
      <c r="C1" s="2"/>
      <c r="D1" s="4" t="s">
        <v>1</v>
      </c>
      <c r="E1" s="2"/>
      <c r="F1" s="4" t="s">
        <v>2</v>
      </c>
      <c r="G1" s="2"/>
      <c r="H1" s="4" t="s">
        <v>3</v>
      </c>
      <c r="I1" s="2"/>
      <c r="J1" s="4" t="s">
        <v>4</v>
      </c>
      <c r="K1" s="2"/>
      <c r="L1" s="4" t="s">
        <v>5</v>
      </c>
      <c r="M1" s="2"/>
      <c r="N1" s="2"/>
      <c r="O1" s="2"/>
      <c r="P1" s="5"/>
      <c r="Q1" s="5"/>
      <c r="R1" s="5"/>
      <c r="S1" s="5"/>
      <c r="T1" s="5"/>
    </row>
    <row r="2" customFormat="false" ht="19.5" hidden="false" customHeight="true" outlineLevel="0" collapsed="false">
      <c r="A2" s="6"/>
      <c r="B2" s="7" t="s">
        <v>6</v>
      </c>
      <c r="C2" s="7"/>
      <c r="D2" s="7"/>
      <c r="E2" s="7"/>
      <c r="F2" s="7"/>
      <c r="G2" s="7"/>
      <c r="H2" s="7"/>
      <c r="I2" s="7"/>
      <c r="J2" s="7"/>
      <c r="K2" s="8" t="s">
        <v>7</v>
      </c>
      <c r="L2" s="8"/>
      <c r="M2" s="8"/>
      <c r="N2" s="8"/>
      <c r="O2" s="6"/>
      <c r="P2" s="5"/>
      <c r="Q2" s="5"/>
      <c r="R2" s="5"/>
      <c r="S2" s="5"/>
      <c r="T2" s="5"/>
    </row>
    <row r="3" customFormat="false" ht="19.5" hidden="false" customHeight="true" outlineLevel="0" collapsed="false">
      <c r="A3" s="6"/>
      <c r="B3" s="7"/>
      <c r="C3" s="7"/>
      <c r="D3" s="7"/>
      <c r="E3" s="7"/>
      <c r="F3" s="7"/>
      <c r="G3" s="7"/>
      <c r="H3" s="7"/>
      <c r="I3" s="7"/>
      <c r="J3" s="7"/>
      <c r="K3" s="8"/>
      <c r="L3" s="8"/>
      <c r="M3" s="8"/>
      <c r="N3" s="8"/>
      <c r="O3" s="6"/>
      <c r="P3" s="5"/>
      <c r="Q3" s="5"/>
      <c r="R3" s="5"/>
      <c r="S3" s="5"/>
      <c r="T3" s="5"/>
    </row>
    <row r="4" customFormat="false" ht="19.5" hidden="false" customHeight="true" outlineLevel="0" collapsed="false">
      <c r="A4" s="6"/>
      <c r="B4" s="7"/>
      <c r="C4" s="7"/>
      <c r="D4" s="7"/>
      <c r="E4" s="7"/>
      <c r="F4" s="7"/>
      <c r="G4" s="7"/>
      <c r="H4" s="7"/>
      <c r="I4" s="7"/>
      <c r="J4" s="7"/>
      <c r="K4" s="8"/>
      <c r="L4" s="8"/>
      <c r="M4" s="8"/>
      <c r="N4" s="8"/>
      <c r="O4" s="6"/>
      <c r="P4" s="5"/>
      <c r="Q4" s="5"/>
      <c r="R4" s="5"/>
      <c r="S4" s="5"/>
      <c r="T4" s="5"/>
    </row>
    <row r="5" customFormat="false" ht="19.5" hidden="false" customHeight="tru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5"/>
      <c r="Q5" s="5"/>
      <c r="R5" s="5"/>
      <c r="S5" s="5"/>
      <c r="T5" s="5"/>
    </row>
    <row r="6" customFormat="false" ht="19.5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19.5" hidden="false" customHeight="true" outlineLevel="0" collapsed="false">
      <c r="A7" s="5"/>
      <c r="B7" s="9" t="s">
        <v>8</v>
      </c>
      <c r="C7" s="9"/>
      <c r="D7" s="9"/>
      <c r="E7" s="5"/>
      <c r="F7" s="9" t="s">
        <v>9</v>
      </c>
      <c r="G7" s="9"/>
      <c r="H7" s="9"/>
      <c r="I7" s="5"/>
      <c r="J7" s="9" t="s">
        <v>10</v>
      </c>
      <c r="K7" s="9"/>
      <c r="L7" s="9"/>
      <c r="M7" s="5"/>
      <c r="N7" s="9" t="s">
        <v>11</v>
      </c>
      <c r="O7" s="9"/>
      <c r="P7" s="9"/>
      <c r="Q7" s="5"/>
      <c r="R7" s="5"/>
      <c r="S7" s="5"/>
      <c r="T7" s="5"/>
    </row>
    <row r="8" customFormat="false" ht="19.5" hidden="false" customHeight="true" outlineLevel="0" collapsed="false">
      <c r="A8" s="5"/>
      <c r="B8" s="10" t="n">
        <f aca="false">COUNTA('🏢 Clientes'!B4:B53)</f>
        <v>6</v>
      </c>
      <c r="C8" s="10"/>
      <c r="D8" s="10"/>
      <c r="E8" s="5"/>
      <c r="F8" s="11" t="n">
        <f aca="false">'💰 Finanzas'!C6</f>
        <v>71000</v>
      </c>
      <c r="G8" s="11"/>
      <c r="H8" s="11"/>
      <c r="I8" s="5"/>
      <c r="J8" s="12" t="n">
        <f aca="false">'💰 Finanzas'!C12</f>
        <v>3.40625</v>
      </c>
      <c r="K8" s="12"/>
      <c r="L8" s="12"/>
      <c r="M8" s="5"/>
      <c r="N8" s="13" t="n">
        <f aca="false">COUNTA('📅 Calendario'!D4:D200)</f>
        <v>8</v>
      </c>
      <c r="O8" s="13"/>
      <c r="P8" s="13"/>
      <c r="Q8" s="5"/>
      <c r="R8" s="5"/>
      <c r="S8" s="5"/>
      <c r="T8" s="5"/>
    </row>
    <row r="9" customFormat="false" ht="19.5" hidden="false" customHeight="true" outlineLevel="0" collapsed="false">
      <c r="A9" s="5"/>
      <c r="B9" s="10"/>
      <c r="C9" s="10"/>
      <c r="D9" s="10"/>
      <c r="E9" s="5"/>
      <c r="F9" s="11"/>
      <c r="G9" s="11"/>
      <c r="H9" s="11"/>
      <c r="I9" s="5"/>
      <c r="J9" s="12"/>
      <c r="K9" s="12"/>
      <c r="L9" s="12"/>
      <c r="M9" s="5"/>
      <c r="N9" s="13"/>
      <c r="O9" s="13"/>
      <c r="P9" s="13"/>
      <c r="Q9" s="5"/>
      <c r="R9" s="5"/>
      <c r="S9" s="5"/>
      <c r="T9" s="5"/>
    </row>
    <row r="10" customFormat="false" ht="19.5" hidden="false" customHeight="true" outlineLevel="0" collapsed="false">
      <c r="A10" s="5"/>
      <c r="B10" s="14"/>
      <c r="C10" s="14"/>
      <c r="D10" s="14"/>
      <c r="E10" s="5"/>
      <c r="F10" s="15"/>
      <c r="G10" s="15"/>
      <c r="H10" s="15"/>
      <c r="I10" s="5"/>
      <c r="J10" s="16"/>
      <c r="K10" s="16"/>
      <c r="L10" s="16"/>
      <c r="M10" s="5"/>
      <c r="N10" s="17"/>
      <c r="O10" s="17"/>
      <c r="P10" s="17"/>
      <c r="Q10" s="5"/>
      <c r="R10" s="5"/>
      <c r="S10" s="5"/>
      <c r="T10" s="5"/>
    </row>
    <row r="11" customFormat="false" ht="19.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customFormat="false" ht="19.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customFormat="false" ht="19.5" hidden="false" customHeight="true" outlineLevel="0" collapsed="false">
      <c r="A13" s="5"/>
      <c r="B13" s="9" t="s">
        <v>12</v>
      </c>
      <c r="C13" s="9"/>
      <c r="D13" s="9"/>
      <c r="E13" s="5"/>
      <c r="F13" s="9" t="s">
        <v>13</v>
      </c>
      <c r="G13" s="9"/>
      <c r="H13" s="9"/>
      <c r="I13" s="5"/>
      <c r="J13" s="9" t="s">
        <v>14</v>
      </c>
      <c r="K13" s="9"/>
      <c r="L13" s="9"/>
      <c r="M13" s="5"/>
      <c r="N13" s="9" t="s">
        <v>15</v>
      </c>
      <c r="O13" s="9"/>
      <c r="P13" s="9"/>
      <c r="Q13" s="5"/>
      <c r="R13" s="5"/>
      <c r="S13" s="5"/>
      <c r="T13" s="5"/>
    </row>
    <row r="14" customFormat="false" ht="19.5" hidden="false" customHeight="true" outlineLevel="0" collapsed="false">
      <c r="A14" s="5"/>
      <c r="B14" s="18" t="n">
        <f aca="false">'💰 Finanzas'!C7</f>
        <v>21000</v>
      </c>
      <c r="C14" s="18"/>
      <c r="D14" s="18"/>
      <c r="E14" s="5"/>
      <c r="F14" s="11" t="n">
        <f aca="false">'💰 Finanzas'!C8</f>
        <v>50000</v>
      </c>
      <c r="G14" s="11"/>
      <c r="H14" s="11"/>
      <c r="I14" s="5"/>
      <c r="J14" s="19" t="n">
        <f aca="false">'💰 Finanzas'!C13</f>
        <v>91.4285714285714</v>
      </c>
      <c r="K14" s="19"/>
      <c r="L14" s="19"/>
      <c r="M14" s="5"/>
      <c r="N14" s="13" t="n">
        <f aca="false">COUNTA('🤝 CRM'!B4:B103)</f>
        <v>10</v>
      </c>
      <c r="O14" s="13"/>
      <c r="P14" s="13"/>
      <c r="Q14" s="5"/>
      <c r="R14" s="5"/>
      <c r="S14" s="5"/>
      <c r="T14" s="5"/>
    </row>
    <row r="15" customFormat="false" ht="19.5" hidden="false" customHeight="true" outlineLevel="0" collapsed="false">
      <c r="A15" s="5"/>
      <c r="B15" s="18"/>
      <c r="C15" s="18"/>
      <c r="D15" s="18"/>
      <c r="E15" s="5"/>
      <c r="F15" s="11"/>
      <c r="G15" s="11"/>
      <c r="H15" s="11"/>
      <c r="I15" s="5"/>
      <c r="J15" s="19"/>
      <c r="K15" s="19"/>
      <c r="L15" s="19"/>
      <c r="M15" s="5"/>
      <c r="N15" s="13"/>
      <c r="O15" s="13"/>
      <c r="P15" s="13"/>
      <c r="Q15" s="5"/>
      <c r="R15" s="5"/>
      <c r="S15" s="5"/>
      <c r="T15" s="5"/>
    </row>
    <row r="16" customFormat="false" ht="19.5" hidden="false" customHeight="true" outlineLevel="0" collapsed="false">
      <c r="A16" s="5"/>
      <c r="B16" s="20"/>
      <c r="C16" s="20"/>
      <c r="D16" s="20"/>
      <c r="E16" s="5"/>
      <c r="F16" s="15"/>
      <c r="G16" s="15"/>
      <c r="H16" s="15"/>
      <c r="I16" s="5"/>
      <c r="J16" s="14"/>
      <c r="K16" s="14"/>
      <c r="L16" s="14"/>
      <c r="M16" s="5"/>
      <c r="N16" s="17"/>
      <c r="O16" s="17"/>
      <c r="P16" s="17"/>
      <c r="Q16" s="5"/>
      <c r="R16" s="5"/>
      <c r="S16" s="5"/>
      <c r="T16" s="5"/>
    </row>
    <row r="17" customFormat="false" ht="19.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customFormat="false" ht="19.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customFormat="false" ht="19.5" hidden="false" customHeight="true" outlineLevel="0" collapsed="false">
      <c r="A19" s="5"/>
      <c r="B19" s="21" t="s">
        <v>16</v>
      </c>
      <c r="C19" s="21"/>
      <c r="D19" s="21"/>
      <c r="E19" s="21"/>
      <c r="F19" s="21"/>
      <c r="G19" s="21"/>
      <c r="H19" s="21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customFormat="false" ht="19.5" hidden="false" customHeight="true" outlineLevel="0" collapsed="false">
      <c r="A20" s="5"/>
      <c r="B20" s="22" t="s">
        <v>17</v>
      </c>
      <c r="C20" s="22" t="s">
        <v>18</v>
      </c>
      <c r="D20" s="22" t="s">
        <v>19</v>
      </c>
      <c r="E20" s="22" t="s">
        <v>20</v>
      </c>
      <c r="F20" s="22" t="s">
        <v>21</v>
      </c>
      <c r="G20" s="22" t="s">
        <v>22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customFormat="false" ht="19.5" hidden="false" customHeight="true" outlineLevel="0" collapsed="false">
      <c r="A21" s="5"/>
      <c r="B21" s="23" t="s">
        <v>23</v>
      </c>
      <c r="C21" s="23" t="s">
        <v>24</v>
      </c>
      <c r="D21" s="23" t="n">
        <v>20</v>
      </c>
      <c r="E21" s="24" t="n">
        <v>15000</v>
      </c>
      <c r="F21" s="25" t="n">
        <v>3.2</v>
      </c>
      <c r="G21" s="26" t="s">
        <v>25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customFormat="false" ht="19.5" hidden="false" customHeight="true" outlineLevel="0" collapsed="false">
      <c r="A22" s="5"/>
      <c r="B22" s="27" t="s">
        <v>26</v>
      </c>
      <c r="C22" s="27" t="s">
        <v>27</v>
      </c>
      <c r="D22" s="27" t="n">
        <v>15</v>
      </c>
      <c r="E22" s="28" t="n">
        <v>8000</v>
      </c>
      <c r="F22" s="29" t="n">
        <v>2.8</v>
      </c>
      <c r="G22" s="30" t="s">
        <v>25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customFormat="false" ht="19.5" hidden="false" customHeight="true" outlineLevel="0" collapsed="false">
      <c r="A23" s="5"/>
      <c r="B23" s="23" t="s">
        <v>28</v>
      </c>
      <c r="C23" s="23" t="s">
        <v>29</v>
      </c>
      <c r="D23" s="23" t="n">
        <v>30</v>
      </c>
      <c r="E23" s="24" t="n">
        <v>22000</v>
      </c>
      <c r="F23" s="25" t="n">
        <v>0</v>
      </c>
      <c r="G23" s="31" t="s">
        <v>30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customFormat="false" ht="19.5" hidden="false" customHeight="true" outlineLevel="0" collapsed="false">
      <c r="A24" s="5"/>
      <c r="B24" s="27" t="s">
        <v>31</v>
      </c>
      <c r="C24" s="27" t="s">
        <v>32</v>
      </c>
      <c r="D24" s="27" t="n">
        <v>12</v>
      </c>
      <c r="E24" s="28" t="n">
        <v>5000</v>
      </c>
      <c r="F24" s="29" t="n">
        <v>2.4</v>
      </c>
      <c r="G24" s="30" t="s">
        <v>25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customFormat="false" ht="19.5" hidden="false" customHeight="true" outlineLevel="0" collapsed="false">
      <c r="A25" s="5"/>
      <c r="B25" s="23" t="s">
        <v>33</v>
      </c>
      <c r="C25" s="23" t="s">
        <v>34</v>
      </c>
      <c r="D25" s="23" t="n">
        <v>10</v>
      </c>
      <c r="E25" s="24" t="n">
        <v>12000</v>
      </c>
      <c r="F25" s="25" t="n">
        <v>4.1</v>
      </c>
      <c r="G25" s="26" t="s">
        <v>25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customFormat="false" ht="19.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customFormat="false" ht="19.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customFormat="false" ht="19.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customFormat="false" ht="19.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customFormat="false" ht="19.5" hidden="false" customHeight="true" outlineLevel="0" collapsed="false">
      <c r="A30" s="5"/>
      <c r="B30" s="32" t="s">
        <v>35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5"/>
      <c r="P30" s="5"/>
      <c r="Q30" s="5"/>
      <c r="R30" s="5"/>
      <c r="S30" s="5"/>
      <c r="T30" s="5"/>
    </row>
    <row r="31" customFormat="false" ht="19.5" hidden="false" customHeight="true" outlineLevel="0" collapsed="false">
      <c r="A31" s="5"/>
      <c r="B31" s="22" t="s">
        <v>36</v>
      </c>
      <c r="C31" s="22" t="s">
        <v>37</v>
      </c>
      <c r="D31" s="22" t="s">
        <v>38</v>
      </c>
      <c r="E31" s="22" t="s">
        <v>39</v>
      </c>
      <c r="F31" s="22" t="s">
        <v>22</v>
      </c>
      <c r="G31" s="22" t="s">
        <v>40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customFormat="false" ht="19.5" hidden="false" customHeight="true" outlineLevel="0" collapsed="false">
      <c r="A32" s="5"/>
      <c r="B32" s="33" t="s">
        <v>21</v>
      </c>
      <c r="C32" s="34" t="n">
        <f aca="false">'💰 Finanzas'!C12</f>
        <v>3.40625</v>
      </c>
      <c r="D32" s="35" t="n">
        <v>3</v>
      </c>
      <c r="E32" s="36" t="n">
        <v>1.5</v>
      </c>
      <c r="F32" s="37" t="str">
        <f aca="false">IF(C32&gt;=3,"🟢 META SUPERADA",IF(C32&gt;=1.5,"🟡 EN RANGO","🔴 BAJO META"))</f>
        <v>🟢 META SUPERADA</v>
      </c>
      <c r="G32" s="38" t="s">
        <v>41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customFormat="false" ht="19.5" hidden="false" customHeight="true" outlineLevel="0" collapsed="false">
      <c r="A33" s="5"/>
      <c r="B33" s="39" t="s">
        <v>42</v>
      </c>
      <c r="C33" s="40" t="n">
        <f aca="false">'💰 Finanzas'!C9</f>
        <v>0.704225352112676</v>
      </c>
      <c r="D33" s="41" t="n">
        <v>0.5</v>
      </c>
      <c r="E33" s="42" t="n">
        <v>0.3</v>
      </c>
      <c r="F33" s="43" t="str">
        <f aca="false">IF(C33&gt;=0.5,"🟢 META SUPERADA",IF(C33&gt;=0.3,"🟡 EN RANGO","🔴 BAJO META"))</f>
        <v>🟢 META SUPERADA</v>
      </c>
      <c r="G33" s="44" t="s">
        <v>43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customFormat="false" ht="19.5" hidden="false" customHeight="true" outlineLevel="0" collapsed="false">
      <c r="A34" s="5"/>
      <c r="B34" s="33" t="s">
        <v>44</v>
      </c>
      <c r="C34" s="45" t="n">
        <f aca="false">'💰 Finanzas'!C13</f>
        <v>91.4285714285714</v>
      </c>
      <c r="D34" s="46" t="n">
        <v>100</v>
      </c>
      <c r="E34" s="47" t="n">
        <v>200</v>
      </c>
      <c r="F34" s="37" t="str">
        <f aca="false">IF(C34&lt;=100,"🟢 META SUPERADA",IF(C34&lt;=200,"🟡 EN RANGO","🔴 ALTO"))</f>
        <v>🟢 META SUPERADA</v>
      </c>
      <c r="G34" s="38" t="s">
        <v>45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customFormat="false" ht="19.5" hidden="false" customHeight="true" outlineLevel="0" collapsed="false">
      <c r="A35" s="5"/>
      <c r="B35" s="39" t="s">
        <v>46</v>
      </c>
      <c r="C35" s="48" t="n">
        <f aca="false">'💰 Finanzas'!C6</f>
        <v>71000</v>
      </c>
      <c r="D35" s="49" t="n">
        <v>120000</v>
      </c>
      <c r="E35" s="50" t="n">
        <v>80000</v>
      </c>
      <c r="F35" s="43" t="str">
        <f aca="false">IF(C35&gt;=80000,"🟢 META SUPERADA",IF(C35&gt;=50000,"🟡 EN RANGO","🔴 BAJO META"))</f>
        <v>🟡 EN RANGO</v>
      </c>
      <c r="G35" s="44" t="s">
        <v>47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customFormat="false" ht="19.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customFormat="false" ht="19.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customFormat="false" ht="19.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customFormat="false" ht="19.5" hidden="false" customHeight="true" outlineLevel="0" collapsed="false">
      <c r="A39" s="5"/>
      <c r="B39" s="32" t="s">
        <v>48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5"/>
      <c r="P39" s="5"/>
      <c r="Q39" s="5"/>
      <c r="R39" s="5"/>
      <c r="S39" s="5"/>
      <c r="T39" s="5"/>
    </row>
    <row r="40" customFormat="false" ht="19.5" hidden="false" customHeight="true" outlineLevel="0" collapsed="false">
      <c r="A40" s="5"/>
      <c r="B40" s="51" t="s">
        <v>49</v>
      </c>
      <c r="C40" s="51"/>
      <c r="D40" s="51"/>
      <c r="E40" s="51" t="s">
        <v>50</v>
      </c>
      <c r="F40" s="51"/>
      <c r="G40" s="51"/>
      <c r="H40" s="51" t="s">
        <v>51</v>
      </c>
      <c r="I40" s="51"/>
      <c r="J40" s="51"/>
      <c r="K40" s="51" t="s">
        <v>52</v>
      </c>
      <c r="L40" s="51"/>
      <c r="M40" s="51"/>
      <c r="N40" s="5"/>
      <c r="O40" s="5"/>
      <c r="P40" s="5"/>
      <c r="Q40" s="5"/>
      <c r="R40" s="5"/>
      <c r="S40" s="5"/>
      <c r="T40" s="5"/>
    </row>
    <row r="41" customFormat="false" ht="19.5" hidden="false" customHeight="true" outlineLevel="0" collapsed="false">
      <c r="A41" s="5"/>
      <c r="B41" s="52" t="s">
        <v>53</v>
      </c>
      <c r="C41" s="52"/>
      <c r="D41" s="52"/>
      <c r="E41" s="53" t="n">
        <f aca="false">SUM('📈 Métricas'!F6:F12)</f>
        <v>310000</v>
      </c>
      <c r="F41" s="53"/>
      <c r="G41" s="53"/>
      <c r="H41" s="54" t="s">
        <v>54</v>
      </c>
      <c r="I41" s="54"/>
      <c r="J41" s="54"/>
      <c r="K41" s="55" t="s">
        <v>55</v>
      </c>
      <c r="L41" s="55"/>
      <c r="M41" s="55"/>
      <c r="N41" s="5"/>
      <c r="O41" s="5"/>
      <c r="P41" s="5"/>
      <c r="Q41" s="5"/>
      <c r="R41" s="5"/>
      <c r="S41" s="5"/>
      <c r="T41" s="5"/>
    </row>
    <row r="42" customFormat="false" ht="19.5" hidden="false" customHeight="true" outlineLevel="0" collapsed="false">
      <c r="A42" s="5"/>
      <c r="B42" s="56" t="s">
        <v>56</v>
      </c>
      <c r="C42" s="56"/>
      <c r="D42" s="56"/>
      <c r="E42" s="48" t="n">
        <f aca="false">SUMPRODUCT(('📈 Métricas'!F6:F12)*('📈 Métricas'!H6:H12))</f>
        <v>19435</v>
      </c>
      <c r="F42" s="48"/>
      <c r="G42" s="48"/>
      <c r="H42" s="57" t="n">
        <f aca="false">IF(E41&gt;0,E42/E41,0)</f>
        <v>0.0626935483870968</v>
      </c>
      <c r="I42" s="57"/>
      <c r="J42" s="57"/>
      <c r="K42" s="58" t="s">
        <v>57</v>
      </c>
      <c r="L42" s="58"/>
      <c r="M42" s="58"/>
      <c r="N42" s="5"/>
      <c r="O42" s="5"/>
      <c r="P42" s="5"/>
      <c r="Q42" s="5"/>
      <c r="R42" s="5"/>
      <c r="S42" s="5"/>
      <c r="T42" s="5"/>
    </row>
    <row r="43" customFormat="false" ht="19.5" hidden="false" customHeight="true" outlineLevel="0" collapsed="false">
      <c r="A43" s="5"/>
      <c r="B43" s="52" t="s">
        <v>58</v>
      </c>
      <c r="C43" s="52"/>
      <c r="D43" s="52"/>
      <c r="E43" s="59" t="n">
        <f aca="false">SUM('📈 Métricas'!K6:K12)</f>
        <v>6690</v>
      </c>
      <c r="F43" s="59"/>
      <c r="G43" s="59"/>
      <c r="H43" s="60" t="n">
        <f aca="false">IF(E41&gt;0,E43/E41,0)</f>
        <v>0.0215806451612903</v>
      </c>
      <c r="I43" s="60"/>
      <c r="J43" s="60"/>
      <c r="K43" s="61" t="s">
        <v>59</v>
      </c>
      <c r="L43" s="61"/>
      <c r="M43" s="61"/>
      <c r="N43" s="5"/>
      <c r="O43" s="5"/>
      <c r="P43" s="5"/>
      <c r="Q43" s="5"/>
      <c r="R43" s="5"/>
      <c r="S43" s="5"/>
      <c r="T43" s="5"/>
    </row>
    <row r="44" customFormat="false" ht="19.5" hidden="false" customHeight="true" outlineLevel="0" collapsed="false">
      <c r="A44" s="5"/>
      <c r="B44" s="56" t="s">
        <v>60</v>
      </c>
      <c r="C44" s="56"/>
      <c r="D44" s="56"/>
      <c r="E44" s="62" t="n">
        <f aca="false">SUM('💰 Finanzas'!H35:H49)</f>
        <v>350</v>
      </c>
      <c r="F44" s="62"/>
      <c r="G44" s="62"/>
      <c r="H44" s="57" t="n">
        <f aca="false">IF(E41&gt;0,E44/E41,0)</f>
        <v>0.00112903225806452</v>
      </c>
      <c r="I44" s="57"/>
      <c r="J44" s="57"/>
      <c r="K44" s="63" t="s">
        <v>61</v>
      </c>
      <c r="L44" s="63"/>
      <c r="M44" s="63"/>
      <c r="N44" s="5"/>
      <c r="O44" s="5"/>
      <c r="P44" s="5"/>
      <c r="Q44" s="5"/>
      <c r="R44" s="5"/>
      <c r="S44" s="5"/>
      <c r="T44" s="5"/>
    </row>
    <row r="45" customFormat="false" ht="19.5" hidden="false" customHeight="true" outlineLevel="0" collapsed="false">
      <c r="A45" s="5"/>
      <c r="B45" s="52" t="s">
        <v>62</v>
      </c>
      <c r="C45" s="52"/>
      <c r="D45" s="52"/>
      <c r="E45" s="59" t="n">
        <f aca="false">ROUND(E44*0.3,0)</f>
        <v>105</v>
      </c>
      <c r="F45" s="59"/>
      <c r="G45" s="59"/>
      <c r="H45" s="60" t="n">
        <f aca="false">IF(E44&gt;0,E45/E44,0)</f>
        <v>0.3</v>
      </c>
      <c r="I45" s="60"/>
      <c r="J45" s="60"/>
      <c r="K45" s="61" t="s">
        <v>63</v>
      </c>
      <c r="L45" s="61"/>
      <c r="M45" s="61"/>
      <c r="N45" s="5"/>
      <c r="O45" s="5"/>
      <c r="P45" s="5"/>
      <c r="Q45" s="5"/>
      <c r="R45" s="5"/>
      <c r="S45" s="5"/>
      <c r="T45" s="5"/>
    </row>
    <row r="46" customFormat="false" ht="19.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customFormat="false" ht="19.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customFormat="false" ht="19.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customFormat="false" ht="19.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customFormat="false" ht="19.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customFormat="false" ht="19.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customFormat="false" ht="19.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customFormat="false" ht="19.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customFormat="false" ht="19.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customFormat="false" ht="19.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customFormat="false" ht="19.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customFormat="false" ht="19.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customFormat="false" ht="19.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customFormat="false" ht="19.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customFormat="false" ht="19.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customFormat="false" ht="19.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customFormat="false" ht="19.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customFormat="false" ht="19.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customFormat="false" ht="19.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customFormat="false" ht="19.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customFormat="false" ht="19.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customFormat="false" ht="19.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customFormat="false" ht="19.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customFormat="false" ht="19.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customFormat="false" ht="19.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customFormat="false" ht="19.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customFormat="false" ht="19.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customFormat="false" ht="19.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customFormat="false" ht="19.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customFormat="false" ht="19.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customFormat="false" ht="19.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customFormat="false" ht="19.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customFormat="false" ht="19.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customFormat="false" ht="19.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customFormat="false" ht="1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</sheetData>
  <mergeCells count="45">
    <mergeCell ref="B2:J4"/>
    <mergeCell ref="K2:N4"/>
    <mergeCell ref="B7:D7"/>
    <mergeCell ref="F7:H7"/>
    <mergeCell ref="J7:L7"/>
    <mergeCell ref="N7:P7"/>
    <mergeCell ref="B8:D9"/>
    <mergeCell ref="F8:H9"/>
    <mergeCell ref="J8:L9"/>
    <mergeCell ref="N8:P9"/>
    <mergeCell ref="B13:D13"/>
    <mergeCell ref="F13:H13"/>
    <mergeCell ref="J13:L13"/>
    <mergeCell ref="N13:P13"/>
    <mergeCell ref="B14:D15"/>
    <mergeCell ref="F14:H15"/>
    <mergeCell ref="J14:L15"/>
    <mergeCell ref="N14:P15"/>
    <mergeCell ref="B19:H19"/>
    <mergeCell ref="B30:N30"/>
    <mergeCell ref="B39:N39"/>
    <mergeCell ref="B40:D40"/>
    <mergeCell ref="E40:G40"/>
    <mergeCell ref="H40:J40"/>
    <mergeCell ref="K40:M40"/>
    <mergeCell ref="B41:D41"/>
    <mergeCell ref="E41:G41"/>
    <mergeCell ref="H41:J41"/>
    <mergeCell ref="K41:M41"/>
    <mergeCell ref="B42:D42"/>
    <mergeCell ref="E42:G42"/>
    <mergeCell ref="H42:J42"/>
    <mergeCell ref="K42:M42"/>
    <mergeCell ref="B43:D43"/>
    <mergeCell ref="E43:G43"/>
    <mergeCell ref="H43:J43"/>
    <mergeCell ref="K43:M43"/>
    <mergeCell ref="B44:D44"/>
    <mergeCell ref="E44:G44"/>
    <mergeCell ref="H44:J44"/>
    <mergeCell ref="K44:M44"/>
    <mergeCell ref="B45:D45"/>
    <mergeCell ref="E45:G45"/>
    <mergeCell ref="H45:J45"/>
    <mergeCell ref="K45:M45"/>
  </mergeCells>
  <hyperlinks>
    <hyperlink ref="D1" r:id="rId1" location="📅%20Calendario!A1" display="📅 Calendario"/>
    <hyperlink ref="F1" r:id="rId2" location="💰%20Finanzas!A1" display="💰 Finanzas"/>
    <hyperlink ref="H1" r:id="rId3" location="🤝%20CRM!A1" display="🤝 CRM"/>
    <hyperlink ref="J1" r:id="rId4" location="🏢%20Clientes!A1" display="🏢 Clientes"/>
    <hyperlink ref="L1" r:id="rId5" location="📈%20Métricas!A1" display="📈 Métrica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T3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22"/>
    <col collapsed="false" customWidth="true" hidden="false" outlineLevel="0" max="5" min="5" style="1" width="16"/>
    <col collapsed="false" customWidth="true" hidden="false" outlineLevel="0" max="8" min="6" style="1" width="15"/>
    <col collapsed="false" customWidth="true" hidden="false" outlineLevel="0" max="10" min="9" style="1" width="18"/>
    <col collapsed="false" customWidth="true" hidden="false" outlineLevel="0" max="11" min="11" style="1" width="16"/>
    <col collapsed="false" customWidth="true" hidden="false" outlineLevel="0" max="13" min="12" style="1" width="15"/>
    <col collapsed="false" customWidth="true" hidden="false" outlineLevel="0" max="14" min="14" style="1" width="14"/>
    <col collapsed="false" customWidth="true" hidden="false" outlineLevel="0" max="15" min="15" style="1" width="22"/>
    <col collapsed="false" customWidth="true" hidden="false" outlineLevel="0" max="16" min="16" style="1" width="14"/>
  </cols>
  <sheetData>
    <row r="1" customFormat="false" ht="21.75" hidden="false" customHeight="true" outlineLevel="0" collapsed="false">
      <c r="A1" s="2"/>
      <c r="B1" s="4" t="s">
        <v>0</v>
      </c>
      <c r="C1" s="2"/>
      <c r="D1" s="3" t="s">
        <v>1</v>
      </c>
      <c r="E1" s="2"/>
      <c r="F1" s="4" t="s">
        <v>2</v>
      </c>
      <c r="G1" s="2"/>
      <c r="H1" s="4" t="s">
        <v>3</v>
      </c>
      <c r="I1" s="2"/>
      <c r="J1" s="4" t="s">
        <v>4</v>
      </c>
      <c r="K1" s="2"/>
      <c r="L1" s="4" t="s">
        <v>5</v>
      </c>
      <c r="M1" s="2"/>
      <c r="N1" s="2"/>
      <c r="O1" s="2"/>
      <c r="P1" s="5"/>
      <c r="Q1" s="5"/>
      <c r="R1" s="5"/>
      <c r="S1" s="5"/>
      <c r="T1" s="5"/>
    </row>
    <row r="2" customFormat="false" ht="19.5" hidden="false" customHeight="true" outlineLevel="0" collapsed="false">
      <c r="A2" s="6"/>
      <c r="B2" s="64" t="s">
        <v>64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5"/>
      <c r="O2" s="5"/>
      <c r="P2" s="5"/>
      <c r="Q2" s="5"/>
      <c r="R2" s="5"/>
      <c r="S2" s="5"/>
      <c r="T2" s="5"/>
    </row>
    <row r="3" customFormat="false" ht="15" hidden="false" customHeight="true" outlineLevel="0" collapsed="false">
      <c r="A3" s="6"/>
      <c r="B3" s="65" t="s">
        <v>65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5"/>
      <c r="O3" s="5"/>
      <c r="P3" s="5"/>
      <c r="Q3" s="5"/>
      <c r="R3" s="5"/>
      <c r="S3" s="5"/>
      <c r="T3" s="5"/>
    </row>
    <row r="4" customFormat="false" ht="15" hidden="false" customHeight="true" outlineLevel="0" collapsed="false">
      <c r="A4" s="5"/>
      <c r="B4" s="22" t="s">
        <v>17</v>
      </c>
      <c r="C4" s="22" t="s">
        <v>66</v>
      </c>
      <c r="D4" s="22" t="s">
        <v>67</v>
      </c>
      <c r="E4" s="22" t="s">
        <v>68</v>
      </c>
      <c r="F4" s="22" t="s">
        <v>69</v>
      </c>
      <c r="G4" s="22" t="s">
        <v>22</v>
      </c>
      <c r="H4" s="22" t="s">
        <v>70</v>
      </c>
      <c r="I4" s="22" t="s">
        <v>71</v>
      </c>
      <c r="J4" s="22" t="s">
        <v>72</v>
      </c>
      <c r="K4" s="22" t="s">
        <v>73</v>
      </c>
      <c r="L4" s="22" t="s">
        <v>74</v>
      </c>
      <c r="M4" s="22" t="s">
        <v>75</v>
      </c>
      <c r="N4" s="22" t="s">
        <v>76</v>
      </c>
      <c r="O4" s="22" t="s">
        <v>77</v>
      </c>
      <c r="P4" s="22" t="s">
        <v>78</v>
      </c>
      <c r="Q4" s="5"/>
      <c r="R4" s="5"/>
      <c r="S4" s="5"/>
      <c r="T4" s="5"/>
    </row>
    <row r="5" customFormat="false" ht="15" hidden="false" customHeight="true" outlineLevel="0" collapsed="false">
      <c r="A5" s="5"/>
      <c r="B5" s="23" t="s">
        <v>23</v>
      </c>
      <c r="C5" s="66" t="n">
        <v>46105</v>
      </c>
      <c r="D5" s="23" t="s">
        <v>79</v>
      </c>
      <c r="E5" s="23" t="s">
        <v>80</v>
      </c>
      <c r="F5" s="23" t="s">
        <v>81</v>
      </c>
      <c r="G5" s="31" t="s">
        <v>82</v>
      </c>
      <c r="H5" s="23" t="s">
        <v>83</v>
      </c>
      <c r="I5" s="23" t="s">
        <v>84</v>
      </c>
      <c r="J5" s="23" t="s">
        <v>84</v>
      </c>
      <c r="K5" s="66" t="n">
        <v>46107</v>
      </c>
      <c r="L5" s="23" t="n">
        <v>8500</v>
      </c>
      <c r="M5" s="23" t="s">
        <v>85</v>
      </c>
      <c r="N5" s="67" t="n">
        <f aca="false">((IF(I5="Sí",1,0))+(IF(J5="Sí",1,0))+(IF(OR(G5="Aprobado",G5="Programado",G5="Publicado"),1,0)))/3</f>
        <v>0.666666666666667</v>
      </c>
      <c r="O5" s="68" t="str">
        <f aca="false">REPT("█",ROUND(N5*10,0))&amp;REPT("░",10-ROUND(N5*10,0))</f>
        <v>███████░░░</v>
      </c>
      <c r="P5" s="5"/>
      <c r="Q5" s="5"/>
      <c r="R5" s="5"/>
      <c r="S5" s="5"/>
      <c r="T5" s="5"/>
    </row>
    <row r="6" customFormat="false" ht="15" hidden="false" customHeight="true" outlineLevel="0" collapsed="false">
      <c r="A6" s="5"/>
      <c r="B6" s="27" t="s">
        <v>23</v>
      </c>
      <c r="C6" s="69" t="n">
        <v>46107</v>
      </c>
      <c r="D6" s="27" t="s">
        <v>86</v>
      </c>
      <c r="E6" s="27" t="s">
        <v>87</v>
      </c>
      <c r="F6" s="27" t="s">
        <v>88</v>
      </c>
      <c r="G6" s="70" t="s">
        <v>89</v>
      </c>
      <c r="H6" s="27" t="s">
        <v>83</v>
      </c>
      <c r="I6" s="27" t="s">
        <v>84</v>
      </c>
      <c r="J6" s="27" t="s">
        <v>84</v>
      </c>
      <c r="K6" s="69" t="n">
        <v>46108</v>
      </c>
      <c r="L6" s="27"/>
      <c r="M6" s="27"/>
      <c r="N6" s="71" t="n">
        <f aca="false">((IF(I6="Sí",1,0))+(IF(J6="Sí",1,0))+(IF(OR(G6="Aprobado",G6="Programado",G6="Publicado"),1,0)))/3</f>
        <v>1</v>
      </c>
      <c r="O6" s="72" t="str">
        <f aca="false">REPT("█",ROUND(N6*10,0))&amp;REPT("░",10-ROUND(N6*10,0))</f>
        <v>██████████</v>
      </c>
      <c r="P6" s="5"/>
      <c r="Q6" s="5"/>
      <c r="R6" s="5"/>
      <c r="S6" s="5"/>
      <c r="T6" s="5"/>
    </row>
    <row r="7" customFormat="false" ht="15" hidden="false" customHeight="true" outlineLevel="0" collapsed="false">
      <c r="A7" s="5"/>
      <c r="B7" s="23" t="s">
        <v>26</v>
      </c>
      <c r="C7" s="66" t="n">
        <v>46106</v>
      </c>
      <c r="D7" s="23" t="s">
        <v>90</v>
      </c>
      <c r="E7" s="23" t="s">
        <v>80</v>
      </c>
      <c r="F7" s="23" t="s">
        <v>91</v>
      </c>
      <c r="G7" s="73" t="s">
        <v>92</v>
      </c>
      <c r="H7" s="23" t="s">
        <v>93</v>
      </c>
      <c r="I7" s="23" t="s">
        <v>94</v>
      </c>
      <c r="J7" s="23" t="s">
        <v>94</v>
      </c>
      <c r="K7" s="66"/>
      <c r="L7" s="23"/>
      <c r="M7" s="23"/>
      <c r="N7" s="67" t="n">
        <f aca="false">((IF(I7="Sí",1,0))+(IF(J7="Sí",1,0))+(IF(OR(G7="Aprobado",G7="Programado",G7="Publicado"),1,0)))/3</f>
        <v>0</v>
      </c>
      <c r="O7" s="68" t="str">
        <f aca="false">REPT("█",ROUND(N7*10,0))&amp;REPT("░",10-ROUND(N7*10,0))</f>
        <v>░░░░░░░░░░</v>
      </c>
      <c r="P7" s="5"/>
      <c r="Q7" s="5"/>
      <c r="R7" s="5"/>
      <c r="S7" s="5"/>
      <c r="T7" s="5"/>
    </row>
    <row r="8" customFormat="false" ht="15" hidden="false" customHeight="true" outlineLevel="0" collapsed="false">
      <c r="A8" s="5"/>
      <c r="B8" s="27" t="s">
        <v>28</v>
      </c>
      <c r="C8" s="69" t="n">
        <v>46109</v>
      </c>
      <c r="D8" s="27" t="s">
        <v>95</v>
      </c>
      <c r="E8" s="27" t="s">
        <v>96</v>
      </c>
      <c r="F8" s="27" t="s">
        <v>81</v>
      </c>
      <c r="G8" s="74" t="s">
        <v>82</v>
      </c>
      <c r="H8" s="27" t="s">
        <v>83</v>
      </c>
      <c r="I8" s="27" t="s">
        <v>84</v>
      </c>
      <c r="J8" s="27" t="s">
        <v>94</v>
      </c>
      <c r="K8" s="69" t="n">
        <v>46111</v>
      </c>
      <c r="L8" s="27"/>
      <c r="M8" s="27"/>
      <c r="N8" s="71" t="n">
        <f aca="false">((IF(I8="Sí",1,0))+(IF(J8="Sí",1,0))+(IF(OR(G8="Aprobado",G8="Programado",G8="Publicado"),1,0)))/3</f>
        <v>0.333333333333333</v>
      </c>
      <c r="O8" s="72" t="str">
        <f aca="false">REPT("█",ROUND(N8*10,0))&amp;REPT("░",10-ROUND(N8*10,0))</f>
        <v>███░░░░░░░</v>
      </c>
      <c r="P8" s="5"/>
      <c r="Q8" s="5"/>
      <c r="R8" s="5"/>
      <c r="S8" s="5"/>
      <c r="T8" s="5"/>
    </row>
    <row r="9" customFormat="false" ht="15" hidden="false" customHeight="true" outlineLevel="0" collapsed="false">
      <c r="A9" s="5"/>
      <c r="B9" s="23" t="s">
        <v>31</v>
      </c>
      <c r="C9" s="66" t="n">
        <v>46110</v>
      </c>
      <c r="D9" s="23" t="s">
        <v>97</v>
      </c>
      <c r="E9" s="23" t="s">
        <v>80</v>
      </c>
      <c r="F9" s="23" t="s">
        <v>88</v>
      </c>
      <c r="G9" s="75" t="s">
        <v>98</v>
      </c>
      <c r="H9" s="23" t="s">
        <v>83</v>
      </c>
      <c r="I9" s="23" t="s">
        <v>94</v>
      </c>
      <c r="J9" s="23" t="s">
        <v>84</v>
      </c>
      <c r="K9" s="66"/>
      <c r="L9" s="23"/>
      <c r="M9" s="23"/>
      <c r="N9" s="67" t="n">
        <f aca="false">((IF(I9="Sí",1,0))+(IF(J9="Sí",1,0))+(IF(OR(G9="Aprobado",G9="Programado",G9="Publicado"),1,0)))/3</f>
        <v>0.333333333333333</v>
      </c>
      <c r="O9" s="68" t="str">
        <f aca="false">REPT("█",ROUND(N9*10,0))&amp;REPT("░",10-ROUND(N9*10,0))</f>
        <v>███░░░░░░░</v>
      </c>
      <c r="P9" s="5"/>
      <c r="Q9" s="5"/>
      <c r="R9" s="5"/>
      <c r="S9" s="5"/>
      <c r="T9" s="5"/>
    </row>
    <row r="10" customFormat="false" ht="15" hidden="false" customHeight="true" outlineLevel="0" collapsed="false">
      <c r="A10" s="5"/>
      <c r="B10" s="27" t="s">
        <v>33</v>
      </c>
      <c r="C10" s="69" t="n">
        <v>46113</v>
      </c>
      <c r="D10" s="27" t="s">
        <v>99</v>
      </c>
      <c r="E10" s="27" t="s">
        <v>87</v>
      </c>
      <c r="F10" s="27" t="s">
        <v>91</v>
      </c>
      <c r="G10" s="30" t="s">
        <v>100</v>
      </c>
      <c r="H10" s="27" t="s">
        <v>83</v>
      </c>
      <c r="I10" s="27" t="s">
        <v>84</v>
      </c>
      <c r="J10" s="27" t="s">
        <v>84</v>
      </c>
      <c r="K10" s="69" t="n">
        <v>46113</v>
      </c>
      <c r="L10" s="27"/>
      <c r="M10" s="27"/>
      <c r="N10" s="71" t="n">
        <f aca="false">((IF(I10="Sí",1,0))+(IF(J10="Sí",1,0))+(IF(OR(G10="Aprobado",G10="Programado",G10="Publicado"),1,0)))/3</f>
        <v>1</v>
      </c>
      <c r="O10" s="72" t="str">
        <f aca="false">REPT("█",ROUND(N10*10,0))&amp;REPT("░",10-ROUND(N10*10,0))</f>
        <v>██████████</v>
      </c>
      <c r="P10" s="5"/>
      <c r="Q10" s="5"/>
      <c r="R10" s="5"/>
      <c r="S10" s="5"/>
      <c r="T10" s="5"/>
    </row>
    <row r="11" customFormat="false" ht="15" hidden="false" customHeight="true" outlineLevel="0" collapsed="false">
      <c r="A11" s="5"/>
      <c r="B11" s="23" t="s">
        <v>23</v>
      </c>
      <c r="C11" s="66" t="n">
        <v>46115</v>
      </c>
      <c r="D11" s="23" t="s">
        <v>101</v>
      </c>
      <c r="E11" s="23" t="s">
        <v>80</v>
      </c>
      <c r="F11" s="23" t="s">
        <v>102</v>
      </c>
      <c r="G11" s="73" t="s">
        <v>92</v>
      </c>
      <c r="H11" s="23" t="s">
        <v>83</v>
      </c>
      <c r="I11" s="23" t="s">
        <v>94</v>
      </c>
      <c r="J11" s="23" t="s">
        <v>94</v>
      </c>
      <c r="K11" s="66"/>
      <c r="L11" s="23"/>
      <c r="M11" s="23"/>
      <c r="N11" s="67" t="n">
        <f aca="false">((IF(I11="Sí",1,0))+(IF(J11="Sí",1,0))+(IF(OR(G11="Aprobado",G11="Programado",G11="Publicado"),1,0)))/3</f>
        <v>0</v>
      </c>
      <c r="O11" s="68" t="str">
        <f aca="false">REPT("█",ROUND(N11*10,0))&amp;REPT("░",10-ROUND(N11*10,0))</f>
        <v>░░░░░░░░░░</v>
      </c>
      <c r="P11" s="5"/>
      <c r="Q11" s="5"/>
      <c r="R11" s="5"/>
      <c r="S11" s="5"/>
      <c r="T11" s="5"/>
    </row>
    <row r="12" customFormat="false" ht="15" hidden="false" customHeight="true" outlineLevel="0" collapsed="false">
      <c r="A12" s="5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1" t="n">
        <f aca="false">((IF(I12="Sí",1,0))+(IF(J12="Sí",1,0))+(IF(OR(G12="Aprobado",G12="Programado",G12="Publicado"),1,0)))/3</f>
        <v>0</v>
      </c>
      <c r="O12" s="72" t="str">
        <f aca="false">REPT("█",ROUND(N12*10,0))&amp;REPT("░",10-ROUND(N12*10,0))</f>
        <v>░░░░░░░░░░</v>
      </c>
      <c r="P12" s="5"/>
      <c r="Q12" s="5"/>
      <c r="R12" s="5"/>
      <c r="S12" s="5"/>
      <c r="T12" s="5"/>
    </row>
    <row r="13" customFormat="false" ht="15" hidden="false" customHeight="true" outlineLevel="0" collapsed="false">
      <c r="A13" s="5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67" t="n">
        <f aca="false">((IF(I13="Sí",1,0))+(IF(J13="Sí",1,0))+(IF(OR(G13="Aprobado",G13="Programado",G13="Publicado"),1,0)))/3</f>
        <v>0</v>
      </c>
      <c r="O13" s="68" t="str">
        <f aca="false">REPT("█",ROUND(N13*10,0))&amp;REPT("░",10-ROUND(N13*10,0))</f>
        <v>░░░░░░░░░░</v>
      </c>
      <c r="P13" s="5"/>
      <c r="Q13" s="5"/>
      <c r="R13" s="5"/>
      <c r="S13" s="5"/>
      <c r="T13" s="5"/>
    </row>
    <row r="14" customFormat="false" ht="15" hidden="false" customHeight="true" outlineLevel="0" collapsed="false">
      <c r="A14" s="5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1" t="n">
        <f aca="false">((IF(I14="Sí",1,0))+(IF(J14="Sí",1,0))+(IF(OR(G14="Aprobado",G14="Programado",G14="Publicado"),1,0)))/3</f>
        <v>0</v>
      </c>
      <c r="O14" s="72" t="str">
        <f aca="false">REPT("█",ROUND(N14*10,0))&amp;REPT("░",10-ROUND(N14*10,0))</f>
        <v>░░░░░░░░░░</v>
      </c>
      <c r="P14" s="5"/>
      <c r="Q14" s="5"/>
      <c r="R14" s="5"/>
      <c r="S14" s="5"/>
      <c r="T14" s="5"/>
    </row>
    <row r="15" customFormat="false" ht="15" hidden="false" customHeight="true" outlineLevel="0" collapsed="false">
      <c r="A15" s="5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67" t="n">
        <f aca="false">((IF(I15="Sí",1,0))+(IF(J15="Sí",1,0))+(IF(OR(G15="Aprobado",G15="Programado",G15="Publicado"),1,0)))/3</f>
        <v>0</v>
      </c>
      <c r="O15" s="68" t="str">
        <f aca="false">REPT("█",ROUND(N15*10,0))&amp;REPT("░",10-ROUND(N15*10,0))</f>
        <v>░░░░░░░░░░</v>
      </c>
      <c r="P15" s="5"/>
      <c r="Q15" s="5"/>
      <c r="R15" s="5"/>
      <c r="S15" s="5"/>
      <c r="T15" s="5"/>
    </row>
    <row r="16" customFormat="false" ht="15" hidden="false" customHeight="true" outlineLevel="0" collapsed="false">
      <c r="A16" s="5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1" t="n">
        <f aca="false">((IF(I16="Sí",1,0))+(IF(J16="Sí",1,0))+(IF(OR(G16="Aprobado",G16="Programado",G16="Publicado"),1,0)))/3</f>
        <v>0</v>
      </c>
      <c r="O16" s="72" t="str">
        <f aca="false">REPT("█",ROUND(N16*10,0))&amp;REPT("░",10-ROUND(N16*10,0))</f>
        <v>░░░░░░░░░░</v>
      </c>
      <c r="P16" s="5"/>
      <c r="Q16" s="5"/>
      <c r="R16" s="5"/>
      <c r="S16" s="5"/>
      <c r="T16" s="5"/>
    </row>
    <row r="17" customFormat="false" ht="15" hidden="false" customHeight="true" outlineLevel="0" collapsed="false">
      <c r="A17" s="5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67" t="n">
        <f aca="false">((IF(I17="Sí",1,0))+(IF(J17="Sí",1,0))+(IF(OR(G17="Aprobado",G17="Programado",G17="Publicado"),1,0)))/3</f>
        <v>0</v>
      </c>
      <c r="O17" s="68" t="str">
        <f aca="false">REPT("█",ROUND(N17*10,0))&amp;REPT("░",10-ROUND(N17*10,0))</f>
        <v>░░░░░░░░░░</v>
      </c>
      <c r="P17" s="5"/>
      <c r="Q17" s="5"/>
      <c r="R17" s="5"/>
      <c r="S17" s="5"/>
      <c r="T17" s="5"/>
    </row>
    <row r="18" customFormat="false" ht="15" hidden="false" customHeight="true" outlineLevel="0" collapsed="false">
      <c r="A18" s="5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1" t="n">
        <f aca="false">((IF(I18="Sí",1,0))+(IF(J18="Sí",1,0))+(IF(OR(G18="Aprobado",G18="Programado",G18="Publicado"),1,0)))/3</f>
        <v>0</v>
      </c>
      <c r="O18" s="72" t="str">
        <f aca="false">REPT("█",ROUND(N18*10,0))&amp;REPT("░",10-ROUND(N18*10,0))</f>
        <v>░░░░░░░░░░</v>
      </c>
      <c r="P18" s="5"/>
      <c r="Q18" s="5"/>
      <c r="R18" s="5"/>
      <c r="S18" s="5"/>
      <c r="T18" s="5"/>
    </row>
    <row r="19" customFormat="false" ht="15" hidden="false" customHeight="true" outlineLevel="0" collapsed="false">
      <c r="A19" s="5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67" t="n">
        <f aca="false">((IF(I19="Sí",1,0))+(IF(J19="Sí",1,0))+(IF(OR(G19="Aprobado",G19="Programado",G19="Publicado"),1,0)))/3</f>
        <v>0</v>
      </c>
      <c r="O19" s="68" t="str">
        <f aca="false">REPT("█",ROUND(N19*10,0))&amp;REPT("░",10-ROUND(N19*10,0))</f>
        <v>░░░░░░░░░░</v>
      </c>
      <c r="P19" s="5"/>
      <c r="Q19" s="5"/>
      <c r="R19" s="5"/>
      <c r="S19" s="5"/>
      <c r="T19" s="5"/>
    </row>
    <row r="20" customFormat="false" ht="15" hidden="false" customHeight="true" outlineLevel="0" collapsed="false">
      <c r="A20" s="5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1" t="n">
        <f aca="false">((IF(I20="Sí",1,0))+(IF(J20="Sí",1,0))+(IF(OR(G20="Aprobado",G20="Programado",G20="Publicado"),1,0)))/3</f>
        <v>0</v>
      </c>
      <c r="O20" s="72" t="str">
        <f aca="false">REPT("█",ROUND(N20*10,0))&amp;REPT("░",10-ROUND(N20*10,0))</f>
        <v>░░░░░░░░░░</v>
      </c>
      <c r="P20" s="5"/>
      <c r="Q20" s="5"/>
      <c r="R20" s="5"/>
      <c r="S20" s="5"/>
      <c r="T20" s="5"/>
    </row>
    <row r="21" customFormat="false" ht="15" hidden="false" customHeight="true" outlineLevel="0" collapsed="false">
      <c r="A21" s="5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67" t="n">
        <f aca="false">((IF(I21="Sí",1,0))+(IF(J21="Sí",1,0))+(IF(OR(G21="Aprobado",G21="Programado",G21="Publicado"),1,0)))/3</f>
        <v>0</v>
      </c>
      <c r="O21" s="68" t="str">
        <f aca="false">REPT("█",ROUND(N21*10,0))&amp;REPT("░",10-ROUND(N21*10,0))</f>
        <v>░░░░░░░░░░</v>
      </c>
      <c r="P21" s="5"/>
      <c r="Q21" s="5"/>
      <c r="R21" s="5"/>
      <c r="S21" s="5"/>
      <c r="T21" s="5"/>
    </row>
    <row r="22" customFormat="false" ht="15" hidden="false" customHeight="true" outlineLevel="0" collapsed="false">
      <c r="A22" s="5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1" t="n">
        <f aca="false">((IF(I22="Sí",1,0))+(IF(J22="Sí",1,0))+(IF(OR(G22="Aprobado",G22="Programado",G22="Publicado"),1,0)))/3</f>
        <v>0</v>
      </c>
      <c r="O22" s="72" t="str">
        <f aca="false">REPT("█",ROUND(N22*10,0))&amp;REPT("░",10-ROUND(N22*10,0))</f>
        <v>░░░░░░░░░░</v>
      </c>
      <c r="P22" s="5"/>
      <c r="Q22" s="5"/>
      <c r="R22" s="5"/>
      <c r="S22" s="5"/>
      <c r="T22" s="5"/>
    </row>
    <row r="23" customFormat="false" ht="15" hidden="false" customHeight="true" outlineLevel="0" collapsed="false">
      <c r="A23" s="5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67" t="n">
        <f aca="false">((IF(I23="Sí",1,0))+(IF(J23="Sí",1,0))+(IF(OR(G23="Aprobado",G23="Programado",G23="Publicado"),1,0)))/3</f>
        <v>0</v>
      </c>
      <c r="O23" s="68" t="str">
        <f aca="false">REPT("█",ROUND(N23*10,0))&amp;REPT("░",10-ROUND(N23*10,0))</f>
        <v>░░░░░░░░░░</v>
      </c>
      <c r="P23" s="5"/>
      <c r="Q23" s="5"/>
      <c r="R23" s="5"/>
      <c r="S23" s="5"/>
      <c r="T23" s="5"/>
    </row>
    <row r="24" customFormat="false" ht="15" hidden="false" customHeight="true" outlineLevel="0" collapsed="false">
      <c r="A24" s="5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1" t="n">
        <f aca="false">((IF(I24="Sí",1,0))+(IF(J24="Sí",1,0))+(IF(OR(G24="Aprobado",G24="Programado",G24="Publicado"),1,0)))/3</f>
        <v>0</v>
      </c>
      <c r="O24" s="72" t="str">
        <f aca="false">REPT("█",ROUND(N24*10,0))&amp;REPT("░",10-ROUND(N24*10,0))</f>
        <v>░░░░░░░░░░</v>
      </c>
      <c r="P24" s="5"/>
      <c r="Q24" s="5"/>
      <c r="R24" s="5"/>
      <c r="S24" s="5"/>
      <c r="T24" s="5"/>
    </row>
    <row r="25" customFormat="false" ht="15" hidden="false" customHeight="true" outlineLevel="0" collapsed="false">
      <c r="A25" s="5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67" t="n">
        <f aca="false">((IF(I25="Sí",1,0))+(IF(J25="Sí",1,0))+(IF(OR(G25="Aprobado",G25="Programado",G25="Publicado"),1,0)))/3</f>
        <v>0</v>
      </c>
      <c r="O25" s="68" t="str">
        <f aca="false">REPT("█",ROUND(N25*10,0))&amp;REPT("░",10-ROUND(N25*10,0))</f>
        <v>░░░░░░░░░░</v>
      </c>
      <c r="P25" s="5"/>
      <c r="Q25" s="5"/>
      <c r="R25" s="5"/>
      <c r="S25" s="5"/>
      <c r="T25" s="5"/>
    </row>
    <row r="26" customFormat="false" ht="15" hidden="false" customHeight="true" outlineLevel="0" collapsed="false">
      <c r="A26" s="5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1" t="n">
        <f aca="false">((IF(I26="Sí",1,0))+(IF(J26="Sí",1,0))+(IF(OR(G26="Aprobado",G26="Programado",G26="Publicado"),1,0)))/3</f>
        <v>0</v>
      </c>
      <c r="O26" s="72" t="str">
        <f aca="false">REPT("█",ROUND(N26*10,0))&amp;REPT("░",10-ROUND(N26*10,0))</f>
        <v>░░░░░░░░░░</v>
      </c>
      <c r="P26" s="5"/>
      <c r="Q26" s="5"/>
      <c r="R26" s="5"/>
      <c r="S26" s="5"/>
      <c r="T26" s="5"/>
    </row>
    <row r="27" customFormat="false" ht="15" hidden="false" customHeight="true" outlineLevel="0" collapsed="false">
      <c r="A27" s="5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67" t="n">
        <f aca="false">((IF(I27="Sí",1,0))+(IF(J27="Sí",1,0))+(IF(OR(G27="Aprobado",G27="Programado",G27="Publicado"),1,0)))/3</f>
        <v>0</v>
      </c>
      <c r="O27" s="68" t="str">
        <f aca="false">REPT("█",ROUND(N27*10,0))&amp;REPT("░",10-ROUND(N27*10,0))</f>
        <v>░░░░░░░░░░</v>
      </c>
      <c r="P27" s="5"/>
      <c r="Q27" s="5"/>
      <c r="R27" s="5"/>
      <c r="S27" s="5"/>
      <c r="T27" s="5"/>
    </row>
    <row r="28" customFormat="false" ht="15" hidden="false" customHeight="true" outlineLevel="0" collapsed="false">
      <c r="A28" s="5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1" t="n">
        <f aca="false">((IF(I28="Sí",1,0))+(IF(J28="Sí",1,0))+(IF(OR(G28="Aprobado",G28="Programado",G28="Publicado"),1,0)))/3</f>
        <v>0</v>
      </c>
      <c r="O28" s="72" t="str">
        <f aca="false">REPT("█",ROUND(N28*10,0))&amp;REPT("░",10-ROUND(N28*10,0))</f>
        <v>░░░░░░░░░░</v>
      </c>
      <c r="P28" s="5"/>
      <c r="Q28" s="5"/>
      <c r="R28" s="5"/>
      <c r="S28" s="5"/>
      <c r="T28" s="5"/>
    </row>
    <row r="29" customFormat="false" ht="15" hidden="false" customHeight="true" outlineLevel="0" collapsed="false">
      <c r="A29" s="5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67" t="n">
        <f aca="false">((IF(I29="Sí",1,0))+(IF(J29="Sí",1,0))+(IF(OR(G29="Aprobado",G29="Programado",G29="Publicado"),1,0)))/3</f>
        <v>0</v>
      </c>
      <c r="O29" s="68" t="str">
        <f aca="false">REPT("█",ROUND(N29*10,0))&amp;REPT("░",10-ROUND(N29*10,0))</f>
        <v>░░░░░░░░░░</v>
      </c>
      <c r="P29" s="5"/>
      <c r="Q29" s="5"/>
      <c r="R29" s="5"/>
      <c r="S29" s="5"/>
      <c r="T29" s="5"/>
    </row>
    <row r="30" customFormat="false" ht="15" hidden="false" customHeight="true" outlineLevel="0" collapsed="false">
      <c r="A30" s="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1" t="n">
        <f aca="false">((IF(I30="Sí",1,0))+(IF(J30="Sí",1,0))+(IF(OR(G30="Aprobado",G30="Programado",G30="Publicado"),1,0)))/3</f>
        <v>0</v>
      </c>
      <c r="O30" s="72" t="str">
        <f aca="false">REPT("█",ROUND(N30*10,0))&amp;REPT("░",10-ROUND(N30*10,0))</f>
        <v>░░░░░░░░░░</v>
      </c>
      <c r="P30" s="5"/>
      <c r="Q30" s="5"/>
      <c r="R30" s="5"/>
      <c r="S30" s="5"/>
      <c r="T30" s="5"/>
    </row>
    <row r="31" customFormat="false" ht="15" hidden="false" customHeight="true" outlineLevel="0" collapsed="false">
      <c r="A31" s="5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67" t="n">
        <f aca="false">((IF(I31="Sí",1,0))+(IF(J31="Sí",1,0))+(IF(OR(G31="Aprobado",G31="Programado",G31="Publicado"),1,0)))/3</f>
        <v>0</v>
      </c>
      <c r="O31" s="68" t="str">
        <f aca="false">REPT("█",ROUND(N31*10,0))&amp;REPT("░",10-ROUND(N31*10,0))</f>
        <v>░░░░░░░░░░</v>
      </c>
      <c r="P31" s="5"/>
      <c r="Q31" s="5"/>
      <c r="R31" s="5"/>
      <c r="S31" s="5"/>
      <c r="T31" s="5"/>
    </row>
    <row r="32" customFormat="false" ht="15" hidden="false" customHeight="true" outlineLevel="0" collapsed="false">
      <c r="A32" s="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1" t="n">
        <f aca="false">((IF(I32="Sí",1,0))+(IF(J32="Sí",1,0))+(IF(OR(G32="Aprobado",G32="Programado",G32="Publicado"),1,0)))/3</f>
        <v>0</v>
      </c>
      <c r="O32" s="72" t="str">
        <f aca="false">REPT("█",ROUND(N32*10,0))&amp;REPT("░",10-ROUND(N32*10,0))</f>
        <v>░░░░░░░░░░</v>
      </c>
      <c r="P32" s="5"/>
      <c r="Q32" s="5"/>
      <c r="R32" s="5"/>
      <c r="S32" s="5"/>
      <c r="T32" s="5"/>
    </row>
    <row r="33" customFormat="false" ht="15" hidden="false" customHeight="true" outlineLevel="0" collapsed="false">
      <c r="A33" s="5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67" t="n">
        <f aca="false">((IF(I33="Sí",1,0))+(IF(J33="Sí",1,0))+(IF(OR(G33="Aprobado",G33="Programado",G33="Publicado"),1,0)))/3</f>
        <v>0</v>
      </c>
      <c r="O33" s="68" t="str">
        <f aca="false">REPT("█",ROUND(N33*10,0))&amp;REPT("░",10-ROUND(N33*10,0))</f>
        <v>░░░░░░░░░░</v>
      </c>
      <c r="P33" s="5"/>
      <c r="Q33" s="5"/>
      <c r="R33" s="5"/>
      <c r="S33" s="5"/>
      <c r="T33" s="5"/>
    </row>
    <row r="34" customFormat="false" ht="15" hidden="false" customHeight="true" outlineLevel="0" collapsed="false">
      <c r="A34" s="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1" t="n">
        <f aca="false">((IF(I34="Sí",1,0))+(IF(J34="Sí",1,0))+(IF(OR(G34="Aprobado",G34="Programado",G34="Publicado"),1,0)))/3</f>
        <v>0</v>
      </c>
      <c r="O34" s="72" t="str">
        <f aca="false">REPT("█",ROUND(N34*10,0))&amp;REPT("░",10-ROUND(N34*10,0))</f>
        <v>░░░░░░░░░░</v>
      </c>
      <c r="P34" s="5"/>
      <c r="Q34" s="5"/>
      <c r="R34" s="5"/>
      <c r="S34" s="5"/>
      <c r="T34" s="5"/>
    </row>
    <row r="35" customFormat="false" ht="15" hidden="false" customHeight="true" outlineLevel="0" collapsed="false">
      <c r="A35" s="5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67" t="n">
        <f aca="false">((IF(I35="Sí",1,0))+(IF(J35="Sí",1,0))+(IF(OR(G35="Aprobado",G35="Programado",G35="Publicado"),1,0)))/3</f>
        <v>0</v>
      </c>
      <c r="O35" s="68" t="str">
        <f aca="false">REPT("█",ROUND(N35*10,0))&amp;REPT("░",10-ROUND(N35*10,0))</f>
        <v>░░░░░░░░░░</v>
      </c>
      <c r="P35" s="5"/>
      <c r="Q35" s="5"/>
      <c r="R35" s="5"/>
      <c r="S35" s="5"/>
      <c r="T35" s="5"/>
    </row>
    <row r="36" customFormat="false" ht="15" hidden="false" customHeight="true" outlineLevel="0" collapsed="false">
      <c r="A36" s="5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1" t="n">
        <f aca="false">((IF(I36="Sí",1,0))+(IF(J36="Sí",1,0))+(IF(OR(G36="Aprobado",G36="Programado",G36="Publicado"),1,0)))/3</f>
        <v>0</v>
      </c>
      <c r="O36" s="72" t="str">
        <f aca="false">REPT("█",ROUND(N36*10,0))&amp;REPT("░",10-ROUND(N36*10,0))</f>
        <v>░░░░░░░░░░</v>
      </c>
      <c r="P36" s="5"/>
      <c r="Q36" s="5"/>
      <c r="R36" s="5"/>
      <c r="S36" s="5"/>
      <c r="T36" s="5"/>
    </row>
    <row r="37" customFormat="false" ht="15" hidden="false" customHeight="true" outlineLevel="0" collapsed="false">
      <c r="A37" s="5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67" t="n">
        <f aca="false">((IF(I37="Sí",1,0))+(IF(J37="Sí",1,0))+(IF(OR(G37="Aprobado",G37="Programado",G37="Publicado"),1,0)))/3</f>
        <v>0</v>
      </c>
      <c r="O37" s="68" t="str">
        <f aca="false">REPT("█",ROUND(N37*10,0))&amp;REPT("░",10-ROUND(N37*10,0))</f>
        <v>░░░░░░░░░░</v>
      </c>
      <c r="P37" s="5"/>
      <c r="Q37" s="5"/>
      <c r="R37" s="5"/>
      <c r="S37" s="5"/>
      <c r="T37" s="5"/>
    </row>
    <row r="38" customFormat="false" ht="15" hidden="false" customHeight="true" outlineLevel="0" collapsed="false">
      <c r="A38" s="5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1" t="n">
        <f aca="false">((IF(I38="Sí",1,0))+(IF(J38="Sí",1,0))+(IF(OR(G38="Aprobado",G38="Programado",G38="Publicado"),1,0)))/3</f>
        <v>0</v>
      </c>
      <c r="O38" s="72" t="str">
        <f aca="false">REPT("█",ROUND(N38*10,0))&amp;REPT("░",10-ROUND(N38*10,0))</f>
        <v>░░░░░░░░░░</v>
      </c>
      <c r="P38" s="5"/>
      <c r="Q38" s="5"/>
      <c r="R38" s="5"/>
      <c r="S38" s="5"/>
      <c r="T38" s="5"/>
    </row>
    <row r="39" customFormat="false" ht="15" hidden="false" customHeight="true" outlineLevel="0" collapsed="false">
      <c r="A39" s="5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67" t="n">
        <f aca="false">((IF(I39="Sí",1,0))+(IF(J39="Sí",1,0))+(IF(OR(G39="Aprobado",G39="Programado",G39="Publicado"),1,0)))/3</f>
        <v>0</v>
      </c>
      <c r="O39" s="68" t="str">
        <f aca="false">REPT("█",ROUND(N39*10,0))&amp;REPT("░",10-ROUND(N39*10,0))</f>
        <v>░░░░░░░░░░</v>
      </c>
      <c r="P39" s="5"/>
      <c r="Q39" s="5"/>
      <c r="R39" s="5"/>
      <c r="S39" s="5"/>
      <c r="T39" s="5"/>
    </row>
    <row r="40" customFormat="false" ht="15" hidden="false" customHeight="true" outlineLevel="0" collapsed="false">
      <c r="A40" s="5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1" t="n">
        <f aca="false">((IF(I40="Sí",1,0))+(IF(J40="Sí",1,0))+(IF(OR(G40="Aprobado",G40="Programado",G40="Publicado"),1,0)))/3</f>
        <v>0</v>
      </c>
      <c r="O40" s="72" t="str">
        <f aca="false">REPT("█",ROUND(N40*10,0))&amp;REPT("░",10-ROUND(N40*10,0))</f>
        <v>░░░░░░░░░░</v>
      </c>
      <c r="P40" s="5"/>
      <c r="Q40" s="5"/>
      <c r="R40" s="5"/>
      <c r="S40" s="5"/>
      <c r="T40" s="5"/>
    </row>
    <row r="41" customFormat="false" ht="15" hidden="false" customHeight="true" outlineLevel="0" collapsed="false">
      <c r="A41" s="5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67" t="n">
        <f aca="false">((IF(I41="Sí",1,0))+(IF(J41="Sí",1,0))+(IF(OR(G41="Aprobado",G41="Programado",G41="Publicado"),1,0)))/3</f>
        <v>0</v>
      </c>
      <c r="O41" s="68" t="str">
        <f aca="false">REPT("█",ROUND(N41*10,0))&amp;REPT("░",10-ROUND(N41*10,0))</f>
        <v>░░░░░░░░░░</v>
      </c>
      <c r="P41" s="5"/>
      <c r="Q41" s="5"/>
      <c r="R41" s="5"/>
      <c r="S41" s="5"/>
      <c r="T41" s="5"/>
    </row>
    <row r="42" customFormat="false" ht="15" hidden="false" customHeight="true" outlineLevel="0" collapsed="false">
      <c r="A42" s="5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1" t="n">
        <f aca="false">((IF(I42="Sí",1,0))+(IF(J42="Sí",1,0))+(IF(OR(G42="Aprobado",G42="Programado",G42="Publicado"),1,0)))/3</f>
        <v>0</v>
      </c>
      <c r="O42" s="72" t="str">
        <f aca="false">REPT("█",ROUND(N42*10,0))&amp;REPT("░",10-ROUND(N42*10,0))</f>
        <v>░░░░░░░░░░</v>
      </c>
      <c r="P42" s="5"/>
      <c r="Q42" s="5"/>
      <c r="R42" s="5"/>
      <c r="S42" s="5"/>
      <c r="T42" s="5"/>
    </row>
    <row r="43" customFormat="false" ht="15" hidden="false" customHeight="true" outlineLevel="0" collapsed="false">
      <c r="A43" s="5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67" t="n">
        <f aca="false">((IF(I43="Sí",1,0))+(IF(J43="Sí",1,0))+(IF(OR(G43="Aprobado",G43="Programado",G43="Publicado"),1,0)))/3</f>
        <v>0</v>
      </c>
      <c r="O43" s="68" t="str">
        <f aca="false">REPT("█",ROUND(N43*10,0))&amp;REPT("░",10-ROUND(N43*10,0))</f>
        <v>░░░░░░░░░░</v>
      </c>
      <c r="P43" s="5"/>
      <c r="Q43" s="5"/>
      <c r="R43" s="5"/>
      <c r="S43" s="5"/>
      <c r="T43" s="5"/>
    </row>
    <row r="44" customFormat="false" ht="15" hidden="false" customHeight="true" outlineLevel="0" collapsed="false">
      <c r="A44" s="5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1" t="n">
        <f aca="false">((IF(I44="Sí",1,0))+(IF(J44="Sí",1,0))+(IF(OR(G44="Aprobado",G44="Programado",G44="Publicado"),1,0)))/3</f>
        <v>0</v>
      </c>
      <c r="O44" s="72" t="str">
        <f aca="false">REPT("█",ROUND(N44*10,0))&amp;REPT("░",10-ROUND(N44*10,0))</f>
        <v>░░░░░░░░░░</v>
      </c>
      <c r="P44" s="5"/>
      <c r="Q44" s="5"/>
      <c r="R44" s="5"/>
      <c r="S44" s="5"/>
      <c r="T44" s="5"/>
    </row>
    <row r="45" customFormat="false" ht="15" hidden="false" customHeight="true" outlineLevel="0" collapsed="false">
      <c r="A45" s="5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67" t="n">
        <f aca="false">((IF(I45="Sí",1,0))+(IF(J45="Sí",1,0))+(IF(OR(G45="Aprobado",G45="Programado",G45="Publicado"),1,0)))/3</f>
        <v>0</v>
      </c>
      <c r="O45" s="68" t="str">
        <f aca="false">REPT("█",ROUND(N45*10,0))&amp;REPT("░",10-ROUND(N45*10,0))</f>
        <v>░░░░░░░░░░</v>
      </c>
      <c r="P45" s="5"/>
      <c r="Q45" s="5"/>
      <c r="R45" s="5"/>
      <c r="S45" s="5"/>
      <c r="T45" s="5"/>
    </row>
    <row r="46" customFormat="false" ht="15" hidden="false" customHeight="true" outlineLevel="0" collapsed="false">
      <c r="A46" s="5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1" t="n">
        <f aca="false">((IF(I46="Sí",1,0))+(IF(J46="Sí",1,0))+(IF(OR(G46="Aprobado",G46="Programado",G46="Publicado"),1,0)))/3</f>
        <v>0</v>
      </c>
      <c r="O46" s="72" t="str">
        <f aca="false">REPT("█",ROUND(N46*10,0))&amp;REPT("░",10-ROUND(N46*10,0))</f>
        <v>░░░░░░░░░░</v>
      </c>
      <c r="P46" s="5"/>
      <c r="Q46" s="5"/>
      <c r="R46" s="5"/>
      <c r="S46" s="5"/>
      <c r="T46" s="5"/>
    </row>
    <row r="47" customFormat="false" ht="15" hidden="false" customHeight="true" outlineLevel="0" collapsed="false">
      <c r="A47" s="5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67" t="n">
        <f aca="false">((IF(I47="Sí",1,0))+(IF(J47="Sí",1,0))+(IF(OR(G47="Aprobado",G47="Programado",G47="Publicado"),1,0)))/3</f>
        <v>0</v>
      </c>
      <c r="O47" s="68" t="str">
        <f aca="false">REPT("█",ROUND(N47*10,0))&amp;REPT("░",10-ROUND(N47*10,0))</f>
        <v>░░░░░░░░░░</v>
      </c>
      <c r="P47" s="5"/>
      <c r="Q47" s="5"/>
      <c r="R47" s="5"/>
      <c r="S47" s="5"/>
      <c r="T47" s="5"/>
    </row>
    <row r="48" customFormat="false" ht="15" hidden="false" customHeight="true" outlineLevel="0" collapsed="false">
      <c r="A48" s="5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1" t="n">
        <f aca="false">((IF(I48="Sí",1,0))+(IF(J48="Sí",1,0))+(IF(OR(G48="Aprobado",G48="Programado",G48="Publicado"),1,0)))/3</f>
        <v>0</v>
      </c>
      <c r="O48" s="72" t="str">
        <f aca="false">REPT("█",ROUND(N48*10,0))&amp;REPT("░",10-ROUND(N48*10,0))</f>
        <v>░░░░░░░░░░</v>
      </c>
      <c r="P48" s="5"/>
      <c r="Q48" s="5"/>
      <c r="R48" s="5"/>
      <c r="S48" s="5"/>
      <c r="T48" s="5"/>
    </row>
    <row r="49" customFormat="false" ht="15" hidden="false" customHeight="true" outlineLevel="0" collapsed="false">
      <c r="A49" s="5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67" t="n">
        <f aca="false">((IF(I49="Sí",1,0))+(IF(J49="Sí",1,0))+(IF(OR(G49="Aprobado",G49="Programado",G49="Publicado"),1,0)))/3</f>
        <v>0</v>
      </c>
      <c r="O49" s="68" t="str">
        <f aca="false">REPT("█",ROUND(N49*10,0))&amp;REPT("░",10-ROUND(N49*10,0))</f>
        <v>░░░░░░░░░░</v>
      </c>
      <c r="P49" s="5"/>
      <c r="Q49" s="5"/>
      <c r="R49" s="5"/>
      <c r="S49" s="5"/>
      <c r="T49" s="5"/>
    </row>
    <row r="50" customFormat="false" ht="15" hidden="false" customHeight="true" outlineLevel="0" collapsed="false">
      <c r="A50" s="5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1" t="n">
        <f aca="false">((IF(I50="Sí",1,0))+(IF(J50="Sí",1,0))+(IF(OR(G50="Aprobado",G50="Programado",G50="Publicado"),1,0)))/3</f>
        <v>0</v>
      </c>
      <c r="O50" s="72" t="str">
        <f aca="false">REPT("█",ROUND(N50*10,0))&amp;REPT("░",10-ROUND(N50*10,0))</f>
        <v>░░░░░░░░░░</v>
      </c>
      <c r="P50" s="5"/>
      <c r="Q50" s="5"/>
      <c r="R50" s="5"/>
      <c r="S50" s="5"/>
      <c r="T50" s="5"/>
    </row>
    <row r="51" customFormat="false" ht="15" hidden="false" customHeight="true" outlineLevel="0" collapsed="false">
      <c r="A51" s="5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67" t="n">
        <f aca="false">((IF(I51="Sí",1,0))+(IF(J51="Sí",1,0))+(IF(OR(G51="Aprobado",G51="Programado",G51="Publicado"),1,0)))/3</f>
        <v>0</v>
      </c>
      <c r="O51" s="68" t="str">
        <f aca="false">REPT("█",ROUND(N51*10,0))&amp;REPT("░",10-ROUND(N51*10,0))</f>
        <v>░░░░░░░░░░</v>
      </c>
      <c r="P51" s="5"/>
      <c r="Q51" s="5"/>
      <c r="R51" s="5"/>
      <c r="S51" s="5"/>
      <c r="T51" s="5"/>
    </row>
    <row r="52" customFormat="false" ht="15" hidden="false" customHeight="true" outlineLevel="0" collapsed="false">
      <c r="A52" s="5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1" t="n">
        <f aca="false">((IF(I52="Sí",1,0))+(IF(J52="Sí",1,0))+(IF(OR(G52="Aprobado",G52="Programado",G52="Publicado"),1,0)))/3</f>
        <v>0</v>
      </c>
      <c r="O52" s="72" t="str">
        <f aca="false">REPT("█",ROUND(N52*10,0))&amp;REPT("░",10-ROUND(N52*10,0))</f>
        <v>░░░░░░░░░░</v>
      </c>
      <c r="P52" s="5"/>
      <c r="Q52" s="5"/>
      <c r="R52" s="5"/>
      <c r="S52" s="5"/>
      <c r="T52" s="5"/>
    </row>
    <row r="53" customFormat="false" ht="15" hidden="false" customHeight="true" outlineLevel="0" collapsed="false">
      <c r="A53" s="5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67" t="n">
        <f aca="false">((IF(I53="Sí",1,0))+(IF(J53="Sí",1,0))+(IF(OR(G53="Aprobado",G53="Programado",G53="Publicado"),1,0)))/3</f>
        <v>0</v>
      </c>
      <c r="O53" s="68" t="str">
        <f aca="false">REPT("█",ROUND(N53*10,0))&amp;REPT("░",10-ROUND(N53*10,0))</f>
        <v>░░░░░░░░░░</v>
      </c>
      <c r="P53" s="5"/>
      <c r="Q53" s="5"/>
      <c r="R53" s="5"/>
      <c r="S53" s="5"/>
      <c r="T53" s="5"/>
    </row>
    <row r="54" customFormat="false" ht="15" hidden="false" customHeight="true" outlineLevel="0" collapsed="false">
      <c r="A54" s="5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1" t="n">
        <f aca="false">((IF(I54="Sí",1,0))+(IF(J54="Sí",1,0))+(IF(OR(G54="Aprobado",G54="Programado",G54="Publicado"),1,0)))/3</f>
        <v>0</v>
      </c>
      <c r="O54" s="72" t="str">
        <f aca="false">REPT("█",ROUND(N54*10,0))&amp;REPT("░",10-ROUND(N54*10,0))</f>
        <v>░░░░░░░░░░</v>
      </c>
      <c r="P54" s="5"/>
      <c r="Q54" s="5"/>
      <c r="R54" s="5"/>
      <c r="S54" s="5"/>
      <c r="T54" s="5"/>
    </row>
    <row r="55" customFormat="false" ht="15" hidden="false" customHeight="true" outlineLevel="0" collapsed="false">
      <c r="A55" s="5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67" t="n">
        <f aca="false">((IF(I55="Sí",1,0))+(IF(J55="Sí",1,0))+(IF(OR(G55="Aprobado",G55="Programado",G55="Publicado"),1,0)))/3</f>
        <v>0</v>
      </c>
      <c r="O55" s="68" t="str">
        <f aca="false">REPT("█",ROUND(N55*10,0))&amp;REPT("░",10-ROUND(N55*10,0))</f>
        <v>░░░░░░░░░░</v>
      </c>
      <c r="P55" s="5"/>
      <c r="Q55" s="5"/>
      <c r="R55" s="5"/>
      <c r="S55" s="5"/>
      <c r="T55" s="5"/>
    </row>
    <row r="56" customFormat="false" ht="15" hidden="false" customHeight="true" outlineLevel="0" collapsed="false">
      <c r="A56" s="5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1" t="n">
        <f aca="false">((IF(I56="Sí",1,0))+(IF(J56="Sí",1,0))+(IF(OR(G56="Aprobado",G56="Programado",G56="Publicado"),1,0)))/3</f>
        <v>0</v>
      </c>
      <c r="O56" s="72" t="str">
        <f aca="false">REPT("█",ROUND(N56*10,0))&amp;REPT("░",10-ROUND(N56*10,0))</f>
        <v>░░░░░░░░░░</v>
      </c>
      <c r="P56" s="5"/>
      <c r="Q56" s="5"/>
      <c r="R56" s="5"/>
      <c r="S56" s="5"/>
      <c r="T56" s="5"/>
    </row>
    <row r="57" customFormat="false" ht="15" hidden="false" customHeight="true" outlineLevel="0" collapsed="false">
      <c r="A57" s="5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67" t="n">
        <f aca="false">((IF(I57="Sí",1,0))+(IF(J57="Sí",1,0))+(IF(OR(G57="Aprobado",G57="Programado",G57="Publicado"),1,0)))/3</f>
        <v>0</v>
      </c>
      <c r="O57" s="68" t="str">
        <f aca="false">REPT("█",ROUND(N57*10,0))&amp;REPT("░",10-ROUND(N57*10,0))</f>
        <v>░░░░░░░░░░</v>
      </c>
      <c r="P57" s="5"/>
      <c r="Q57" s="5"/>
      <c r="R57" s="5"/>
      <c r="S57" s="5"/>
      <c r="T57" s="5"/>
    </row>
    <row r="58" customFormat="false" ht="15" hidden="false" customHeight="true" outlineLevel="0" collapsed="false">
      <c r="A58" s="5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1" t="n">
        <f aca="false">((IF(I58="Sí",1,0))+(IF(J58="Sí",1,0))+(IF(OR(G58="Aprobado",G58="Programado",G58="Publicado"),1,0)))/3</f>
        <v>0</v>
      </c>
      <c r="O58" s="72" t="str">
        <f aca="false">REPT("█",ROUND(N58*10,0))&amp;REPT("░",10-ROUND(N58*10,0))</f>
        <v>░░░░░░░░░░</v>
      </c>
      <c r="P58" s="5"/>
      <c r="Q58" s="5"/>
      <c r="R58" s="5"/>
      <c r="S58" s="5"/>
      <c r="T58" s="5"/>
    </row>
    <row r="59" customFormat="false" ht="15" hidden="false" customHeight="true" outlineLevel="0" collapsed="false">
      <c r="A59" s="5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67" t="n">
        <f aca="false">((IF(I59="Sí",1,0))+(IF(J59="Sí",1,0))+(IF(OR(G59="Aprobado",G59="Programado",G59="Publicado"),1,0)))/3</f>
        <v>0</v>
      </c>
      <c r="O59" s="68" t="str">
        <f aca="false">REPT("█",ROUND(N59*10,0))&amp;REPT("░",10-ROUND(N59*10,0))</f>
        <v>░░░░░░░░░░</v>
      </c>
      <c r="P59" s="5"/>
      <c r="Q59" s="5"/>
      <c r="R59" s="5"/>
      <c r="S59" s="5"/>
      <c r="T59" s="5"/>
    </row>
    <row r="60" customFormat="false" ht="15" hidden="false" customHeight="true" outlineLevel="0" collapsed="false">
      <c r="A60" s="5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1" t="n">
        <f aca="false">((IF(I60="Sí",1,0))+(IF(J60="Sí",1,0))+(IF(OR(G60="Aprobado",G60="Programado",G60="Publicado"),1,0)))/3</f>
        <v>0</v>
      </c>
      <c r="O60" s="72" t="str">
        <f aca="false">REPT("█",ROUND(N60*10,0))&amp;REPT("░",10-ROUND(N60*10,0))</f>
        <v>░░░░░░░░░░</v>
      </c>
      <c r="P60" s="5"/>
      <c r="Q60" s="5"/>
      <c r="R60" s="5"/>
      <c r="S60" s="5"/>
      <c r="T60" s="5"/>
    </row>
    <row r="61" customFormat="false" ht="15" hidden="false" customHeight="true" outlineLevel="0" collapsed="false">
      <c r="A61" s="5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67" t="n">
        <f aca="false">((IF(I61="Sí",1,0))+(IF(J61="Sí",1,0))+(IF(OR(G61="Aprobado",G61="Programado",G61="Publicado"),1,0)))/3</f>
        <v>0</v>
      </c>
      <c r="O61" s="68" t="str">
        <f aca="false">REPT("█",ROUND(N61*10,0))&amp;REPT("░",10-ROUND(N61*10,0))</f>
        <v>░░░░░░░░░░</v>
      </c>
      <c r="P61" s="5"/>
      <c r="Q61" s="5"/>
      <c r="R61" s="5"/>
      <c r="S61" s="5"/>
      <c r="T61" s="5"/>
    </row>
    <row r="62" customFormat="false" ht="15" hidden="false" customHeight="true" outlineLevel="0" collapsed="false">
      <c r="A62" s="5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1" t="n">
        <f aca="false">((IF(I62="Sí",1,0))+(IF(J62="Sí",1,0))+(IF(OR(G62="Aprobado",G62="Programado",G62="Publicado"),1,0)))/3</f>
        <v>0</v>
      </c>
      <c r="O62" s="72" t="str">
        <f aca="false">REPT("█",ROUND(N62*10,0))&amp;REPT("░",10-ROUND(N62*10,0))</f>
        <v>░░░░░░░░░░</v>
      </c>
      <c r="P62" s="5"/>
      <c r="Q62" s="5"/>
      <c r="R62" s="5"/>
      <c r="S62" s="5"/>
      <c r="T62" s="5"/>
    </row>
    <row r="63" customFormat="false" ht="15" hidden="false" customHeight="true" outlineLevel="0" collapsed="false">
      <c r="A63" s="5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67" t="n">
        <f aca="false">((IF(I63="Sí",1,0))+(IF(J63="Sí",1,0))+(IF(OR(G63="Aprobado",G63="Programado",G63="Publicado"),1,0)))/3</f>
        <v>0</v>
      </c>
      <c r="O63" s="68" t="str">
        <f aca="false">REPT("█",ROUND(N63*10,0))&amp;REPT("░",10-ROUND(N63*10,0))</f>
        <v>░░░░░░░░░░</v>
      </c>
      <c r="P63" s="5"/>
      <c r="Q63" s="5"/>
      <c r="R63" s="5"/>
      <c r="S63" s="5"/>
      <c r="T63" s="5"/>
    </row>
    <row r="64" customFormat="false" ht="15" hidden="false" customHeight="true" outlineLevel="0" collapsed="false">
      <c r="A64" s="5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1" t="n">
        <f aca="false">((IF(I64="Sí",1,0))+(IF(J64="Sí",1,0))+(IF(OR(G64="Aprobado",G64="Programado",G64="Publicado"),1,0)))/3</f>
        <v>0</v>
      </c>
      <c r="O64" s="72" t="str">
        <f aca="false">REPT("█",ROUND(N64*10,0))&amp;REPT("░",10-ROUND(N64*10,0))</f>
        <v>░░░░░░░░░░</v>
      </c>
      <c r="P64" s="5"/>
      <c r="Q64" s="5"/>
      <c r="R64" s="5"/>
      <c r="S64" s="5"/>
      <c r="T64" s="5"/>
    </row>
    <row r="65" customFormat="false" ht="15" hidden="false" customHeight="true" outlineLevel="0" collapsed="false">
      <c r="A65" s="5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67" t="n">
        <f aca="false">((IF(I65="Sí",1,0))+(IF(J65="Sí",1,0))+(IF(OR(G65="Aprobado",G65="Programado",G65="Publicado"),1,0)))/3</f>
        <v>0</v>
      </c>
      <c r="O65" s="68" t="str">
        <f aca="false">REPT("█",ROUND(N65*10,0))&amp;REPT("░",10-ROUND(N65*10,0))</f>
        <v>░░░░░░░░░░</v>
      </c>
      <c r="P65" s="5"/>
      <c r="Q65" s="5"/>
      <c r="R65" s="5"/>
      <c r="S65" s="5"/>
      <c r="T65" s="5"/>
    </row>
    <row r="66" customFormat="false" ht="15" hidden="false" customHeight="true" outlineLevel="0" collapsed="false">
      <c r="A66" s="5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1" t="n">
        <f aca="false">((IF(I66="Sí",1,0))+(IF(J66="Sí",1,0))+(IF(OR(G66="Aprobado",G66="Programado",G66="Publicado"),1,0)))/3</f>
        <v>0</v>
      </c>
      <c r="O66" s="72" t="str">
        <f aca="false">REPT("█",ROUND(N66*10,0))&amp;REPT("░",10-ROUND(N66*10,0))</f>
        <v>░░░░░░░░░░</v>
      </c>
      <c r="P66" s="5"/>
      <c r="Q66" s="5"/>
      <c r="R66" s="5"/>
      <c r="S66" s="5"/>
      <c r="T66" s="5"/>
    </row>
    <row r="67" customFormat="false" ht="15" hidden="false" customHeight="true" outlineLevel="0" collapsed="false">
      <c r="A67" s="5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67" t="n">
        <f aca="false">((IF(I67="Sí",1,0))+(IF(J67="Sí",1,0))+(IF(OR(G67="Aprobado",G67="Programado",G67="Publicado"),1,0)))/3</f>
        <v>0</v>
      </c>
      <c r="O67" s="68" t="str">
        <f aca="false">REPT("█",ROUND(N67*10,0))&amp;REPT("░",10-ROUND(N67*10,0))</f>
        <v>░░░░░░░░░░</v>
      </c>
      <c r="P67" s="5"/>
      <c r="Q67" s="5"/>
      <c r="R67" s="5"/>
      <c r="S67" s="5"/>
      <c r="T67" s="5"/>
    </row>
    <row r="68" customFormat="false" ht="15" hidden="false" customHeight="true" outlineLevel="0" collapsed="false">
      <c r="A68" s="5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1" t="n">
        <f aca="false">((IF(I68="Sí",1,0))+(IF(J68="Sí",1,0))+(IF(OR(G68="Aprobado",G68="Programado",G68="Publicado"),1,0)))/3</f>
        <v>0</v>
      </c>
      <c r="O68" s="72" t="str">
        <f aca="false">REPT("█",ROUND(N68*10,0))&amp;REPT("░",10-ROUND(N68*10,0))</f>
        <v>░░░░░░░░░░</v>
      </c>
      <c r="P68" s="5"/>
      <c r="Q68" s="5"/>
      <c r="R68" s="5"/>
      <c r="S68" s="5"/>
      <c r="T68" s="5"/>
    </row>
    <row r="69" customFormat="false" ht="15" hidden="false" customHeight="true" outlineLevel="0" collapsed="false">
      <c r="A69" s="5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67" t="n">
        <f aca="false">((IF(I69="Sí",1,0))+(IF(J69="Sí",1,0))+(IF(OR(G69="Aprobado",G69="Programado",G69="Publicado"),1,0)))/3</f>
        <v>0</v>
      </c>
      <c r="O69" s="68" t="str">
        <f aca="false">REPT("█",ROUND(N69*10,0))&amp;REPT("░",10-ROUND(N69*10,0))</f>
        <v>░░░░░░░░░░</v>
      </c>
      <c r="P69" s="5"/>
      <c r="Q69" s="5"/>
      <c r="R69" s="5"/>
      <c r="S69" s="5"/>
      <c r="T69" s="5"/>
    </row>
    <row r="70" customFormat="false" ht="15" hidden="false" customHeight="true" outlineLevel="0" collapsed="false">
      <c r="A70" s="5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1" t="n">
        <f aca="false">((IF(I70="Sí",1,0))+(IF(J70="Sí",1,0))+(IF(OR(G70="Aprobado",G70="Programado",G70="Publicado"),1,0)))/3</f>
        <v>0</v>
      </c>
      <c r="O70" s="72" t="str">
        <f aca="false">REPT("█",ROUND(N70*10,0))&amp;REPT("░",10-ROUND(N70*10,0))</f>
        <v>░░░░░░░░░░</v>
      </c>
      <c r="P70" s="5"/>
      <c r="Q70" s="5"/>
      <c r="R70" s="5"/>
      <c r="S70" s="5"/>
      <c r="T70" s="5"/>
    </row>
    <row r="71" customFormat="false" ht="15" hidden="false" customHeight="true" outlineLevel="0" collapsed="false">
      <c r="A71" s="5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67" t="n">
        <f aca="false">((IF(I71="Sí",1,0))+(IF(J71="Sí",1,0))+(IF(OR(G71="Aprobado",G71="Programado",G71="Publicado"),1,0)))/3</f>
        <v>0</v>
      </c>
      <c r="O71" s="68" t="str">
        <f aca="false">REPT("█",ROUND(N71*10,0))&amp;REPT("░",10-ROUND(N71*10,0))</f>
        <v>░░░░░░░░░░</v>
      </c>
      <c r="P71" s="5"/>
      <c r="Q71" s="5"/>
      <c r="R71" s="5"/>
      <c r="S71" s="5"/>
      <c r="T71" s="5"/>
    </row>
    <row r="72" customFormat="false" ht="15" hidden="false" customHeight="true" outlineLevel="0" collapsed="false">
      <c r="A72" s="5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1" t="n">
        <f aca="false">((IF(I72="Sí",1,0))+(IF(J72="Sí",1,0))+(IF(OR(G72="Aprobado",G72="Programado",G72="Publicado"),1,0)))/3</f>
        <v>0</v>
      </c>
      <c r="O72" s="72" t="str">
        <f aca="false">REPT("█",ROUND(N72*10,0))&amp;REPT("░",10-ROUND(N72*10,0))</f>
        <v>░░░░░░░░░░</v>
      </c>
      <c r="P72" s="5"/>
      <c r="Q72" s="5"/>
      <c r="R72" s="5"/>
      <c r="S72" s="5"/>
      <c r="T72" s="5"/>
    </row>
    <row r="73" customFormat="false" ht="15" hidden="false" customHeight="true" outlineLevel="0" collapsed="false">
      <c r="A73" s="5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67" t="n">
        <f aca="false">((IF(I73="Sí",1,0))+(IF(J73="Sí",1,0))+(IF(OR(G73="Aprobado",G73="Programado",G73="Publicado"),1,0)))/3</f>
        <v>0</v>
      </c>
      <c r="O73" s="68" t="str">
        <f aca="false">REPT("█",ROUND(N73*10,0))&amp;REPT("░",10-ROUND(N73*10,0))</f>
        <v>░░░░░░░░░░</v>
      </c>
      <c r="P73" s="5"/>
      <c r="Q73" s="5"/>
      <c r="R73" s="5"/>
      <c r="S73" s="5"/>
      <c r="T73" s="5"/>
    </row>
    <row r="74" customFormat="false" ht="15" hidden="false" customHeight="true" outlineLevel="0" collapsed="false">
      <c r="A74" s="5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1" t="n">
        <f aca="false">((IF(I74="Sí",1,0))+(IF(J74="Sí",1,0))+(IF(OR(G74="Aprobado",G74="Programado",G74="Publicado"),1,0)))/3</f>
        <v>0</v>
      </c>
      <c r="O74" s="72" t="str">
        <f aca="false">REPT("█",ROUND(N74*10,0))&amp;REPT("░",10-ROUND(N74*10,0))</f>
        <v>░░░░░░░░░░</v>
      </c>
      <c r="P74" s="5"/>
      <c r="Q74" s="5"/>
      <c r="R74" s="5"/>
      <c r="S74" s="5"/>
      <c r="T74" s="5"/>
    </row>
    <row r="75" customFormat="false" ht="15" hidden="false" customHeight="true" outlineLevel="0" collapsed="false">
      <c r="A75" s="5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67" t="n">
        <f aca="false">((IF(I75="Sí",1,0))+(IF(J75="Sí",1,0))+(IF(OR(G75="Aprobado",G75="Programado",G75="Publicado"),1,0)))/3</f>
        <v>0</v>
      </c>
      <c r="O75" s="68" t="str">
        <f aca="false">REPT("█",ROUND(N75*10,0))&amp;REPT("░",10-ROUND(N75*10,0))</f>
        <v>░░░░░░░░░░</v>
      </c>
      <c r="P75" s="5"/>
      <c r="Q75" s="5"/>
      <c r="R75" s="5"/>
      <c r="S75" s="5"/>
      <c r="T75" s="5"/>
    </row>
    <row r="76" customFormat="false" ht="15" hidden="false" customHeight="true" outlineLevel="0" collapsed="false">
      <c r="A76" s="5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1" t="n">
        <f aca="false">((IF(I76="Sí",1,0))+(IF(J76="Sí",1,0))+(IF(OR(G76="Aprobado",G76="Programado",G76="Publicado"),1,0)))/3</f>
        <v>0</v>
      </c>
      <c r="O76" s="72" t="str">
        <f aca="false">REPT("█",ROUND(N76*10,0))&amp;REPT("░",10-ROUND(N76*10,0))</f>
        <v>░░░░░░░░░░</v>
      </c>
      <c r="P76" s="5"/>
      <c r="Q76" s="5"/>
      <c r="R76" s="5"/>
      <c r="S76" s="5"/>
      <c r="T76" s="5"/>
    </row>
    <row r="77" customFormat="false" ht="15" hidden="false" customHeight="true" outlineLevel="0" collapsed="false">
      <c r="A77" s="5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67" t="n">
        <f aca="false">((IF(I77="Sí",1,0))+(IF(J77="Sí",1,0))+(IF(OR(G77="Aprobado",G77="Programado",G77="Publicado"),1,0)))/3</f>
        <v>0</v>
      </c>
      <c r="O77" s="68" t="str">
        <f aca="false">REPT("█",ROUND(N77*10,0))&amp;REPT("░",10-ROUND(N77*10,0))</f>
        <v>░░░░░░░░░░</v>
      </c>
      <c r="P77" s="5"/>
      <c r="Q77" s="5"/>
      <c r="R77" s="5"/>
      <c r="S77" s="5"/>
      <c r="T77" s="5"/>
    </row>
    <row r="78" customFormat="false" ht="15" hidden="false" customHeight="true" outlineLevel="0" collapsed="false">
      <c r="A78" s="5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1" t="n">
        <f aca="false">((IF(I78="Sí",1,0))+(IF(J78="Sí",1,0))+(IF(OR(G78="Aprobado",G78="Programado",G78="Publicado"),1,0)))/3</f>
        <v>0</v>
      </c>
      <c r="O78" s="72" t="str">
        <f aca="false">REPT("█",ROUND(N78*10,0))&amp;REPT("░",10-ROUND(N78*10,0))</f>
        <v>░░░░░░░░░░</v>
      </c>
      <c r="P78" s="5"/>
      <c r="Q78" s="5"/>
      <c r="R78" s="5"/>
      <c r="S78" s="5"/>
      <c r="T78" s="5"/>
    </row>
    <row r="79" customFormat="false" ht="15" hidden="false" customHeight="true" outlineLevel="0" collapsed="false">
      <c r="A79" s="5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67" t="n">
        <f aca="false">((IF(I79="Sí",1,0))+(IF(J79="Sí",1,0))+(IF(OR(G79="Aprobado",G79="Programado",G79="Publicado"),1,0)))/3</f>
        <v>0</v>
      </c>
      <c r="O79" s="68" t="str">
        <f aca="false">REPT("█",ROUND(N79*10,0))&amp;REPT("░",10-ROUND(N79*10,0))</f>
        <v>░░░░░░░░░░</v>
      </c>
      <c r="P79" s="5"/>
      <c r="Q79" s="5"/>
      <c r="R79" s="5"/>
      <c r="S79" s="5"/>
      <c r="T79" s="5"/>
    </row>
    <row r="80" customFormat="false" ht="15" hidden="false" customHeight="true" outlineLevel="0" collapsed="false">
      <c r="A80" s="5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1" t="n">
        <f aca="false">((IF(I80="Sí",1,0))+(IF(J80="Sí",1,0))+(IF(OR(G80="Aprobado",G80="Programado",G80="Publicado"),1,0)))/3</f>
        <v>0</v>
      </c>
      <c r="O80" s="72" t="str">
        <f aca="false">REPT("█",ROUND(N80*10,0))&amp;REPT("░",10-ROUND(N80*10,0))</f>
        <v>░░░░░░░░░░</v>
      </c>
      <c r="P80" s="5"/>
      <c r="Q80" s="5"/>
      <c r="R80" s="5"/>
      <c r="S80" s="5"/>
      <c r="T80" s="5"/>
    </row>
    <row r="81" customFormat="false" ht="15" hidden="false" customHeight="true" outlineLevel="0" collapsed="false">
      <c r="A81" s="5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67" t="n">
        <f aca="false">((IF(I81="Sí",1,0))+(IF(J81="Sí",1,0))+(IF(OR(G81="Aprobado",G81="Programado",G81="Publicado"),1,0)))/3</f>
        <v>0</v>
      </c>
      <c r="O81" s="68" t="str">
        <f aca="false">REPT("█",ROUND(N81*10,0))&amp;REPT("░",10-ROUND(N81*10,0))</f>
        <v>░░░░░░░░░░</v>
      </c>
      <c r="P81" s="5"/>
      <c r="Q81" s="5"/>
      <c r="R81" s="5"/>
      <c r="S81" s="5"/>
      <c r="T81" s="5"/>
    </row>
    <row r="82" customFormat="false" ht="15" hidden="false" customHeight="true" outlineLevel="0" collapsed="false">
      <c r="A82" s="5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1" t="n">
        <f aca="false">((IF(I82="Sí",1,0))+(IF(J82="Sí",1,0))+(IF(OR(G82="Aprobado",G82="Programado",G82="Publicado"),1,0)))/3</f>
        <v>0</v>
      </c>
      <c r="O82" s="72" t="str">
        <f aca="false">REPT("█",ROUND(N82*10,0))&amp;REPT("░",10-ROUND(N82*10,0))</f>
        <v>░░░░░░░░░░</v>
      </c>
      <c r="P82" s="5"/>
      <c r="Q82" s="5"/>
      <c r="R82" s="5"/>
      <c r="S82" s="5"/>
      <c r="T82" s="5"/>
    </row>
    <row r="83" customFormat="false" ht="15" hidden="false" customHeight="true" outlineLevel="0" collapsed="false">
      <c r="A83" s="5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67" t="n">
        <f aca="false">((IF(I83="Sí",1,0))+(IF(J83="Sí",1,0))+(IF(OR(G83="Aprobado",G83="Programado",G83="Publicado"),1,0)))/3</f>
        <v>0</v>
      </c>
      <c r="O83" s="68" t="str">
        <f aca="false">REPT("█",ROUND(N83*10,0))&amp;REPT("░",10-ROUND(N83*10,0))</f>
        <v>░░░░░░░░░░</v>
      </c>
      <c r="P83" s="5"/>
      <c r="Q83" s="5"/>
      <c r="R83" s="5"/>
      <c r="S83" s="5"/>
      <c r="T83" s="5"/>
    </row>
    <row r="84" customFormat="false" ht="15" hidden="false" customHeight="true" outlineLevel="0" collapsed="false">
      <c r="A84" s="5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1" t="n">
        <f aca="false">((IF(I84="Sí",1,0))+(IF(J84="Sí",1,0))+(IF(OR(G84="Aprobado",G84="Programado",G84="Publicado"),1,0)))/3</f>
        <v>0</v>
      </c>
      <c r="O84" s="72" t="str">
        <f aca="false">REPT("█",ROUND(N84*10,0))&amp;REPT("░",10-ROUND(N84*10,0))</f>
        <v>░░░░░░░░░░</v>
      </c>
      <c r="P84" s="5"/>
      <c r="Q84" s="5"/>
      <c r="R84" s="5"/>
      <c r="S84" s="5"/>
      <c r="T84" s="5"/>
    </row>
    <row r="85" customFormat="false" ht="15" hidden="false" customHeight="true" outlineLevel="0" collapsed="false">
      <c r="A85" s="5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67" t="n">
        <f aca="false">((IF(I85="Sí",1,0))+(IF(J85="Sí",1,0))+(IF(OR(G85="Aprobado",G85="Programado",G85="Publicado"),1,0)))/3</f>
        <v>0</v>
      </c>
      <c r="O85" s="68" t="str">
        <f aca="false">REPT("█",ROUND(N85*10,0))&amp;REPT("░",10-ROUND(N85*10,0))</f>
        <v>░░░░░░░░░░</v>
      </c>
      <c r="P85" s="5"/>
      <c r="Q85" s="5"/>
      <c r="R85" s="5"/>
      <c r="S85" s="5"/>
      <c r="T85" s="5"/>
    </row>
    <row r="86" customFormat="false" ht="15" hidden="false" customHeight="true" outlineLevel="0" collapsed="false">
      <c r="A86" s="5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1" t="n">
        <f aca="false">((IF(I86="Sí",1,0))+(IF(J86="Sí",1,0))+(IF(OR(G86="Aprobado",G86="Programado",G86="Publicado"),1,0)))/3</f>
        <v>0</v>
      </c>
      <c r="O86" s="72" t="str">
        <f aca="false">REPT("█",ROUND(N86*10,0))&amp;REPT("░",10-ROUND(N86*10,0))</f>
        <v>░░░░░░░░░░</v>
      </c>
      <c r="P86" s="5"/>
      <c r="Q86" s="5"/>
      <c r="R86" s="5"/>
      <c r="S86" s="5"/>
      <c r="T86" s="5"/>
    </row>
    <row r="87" customFormat="false" ht="15" hidden="false" customHeight="true" outlineLevel="0" collapsed="false">
      <c r="A87" s="5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67" t="n">
        <f aca="false">((IF(I87="Sí",1,0))+(IF(J87="Sí",1,0))+(IF(OR(G87="Aprobado",G87="Programado",G87="Publicado"),1,0)))/3</f>
        <v>0</v>
      </c>
      <c r="O87" s="68" t="str">
        <f aca="false">REPT("█",ROUND(N87*10,0))&amp;REPT("░",10-ROUND(N87*10,0))</f>
        <v>░░░░░░░░░░</v>
      </c>
      <c r="P87" s="5"/>
      <c r="Q87" s="5"/>
      <c r="R87" s="5"/>
      <c r="S87" s="5"/>
      <c r="T87" s="5"/>
    </row>
    <row r="88" customFormat="false" ht="15" hidden="false" customHeight="true" outlineLevel="0" collapsed="false">
      <c r="A88" s="5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1" t="n">
        <f aca="false">((IF(I88="Sí",1,0))+(IF(J88="Sí",1,0))+(IF(OR(G88="Aprobado",G88="Programado",G88="Publicado"),1,0)))/3</f>
        <v>0</v>
      </c>
      <c r="O88" s="72" t="str">
        <f aca="false">REPT("█",ROUND(N88*10,0))&amp;REPT("░",10-ROUND(N88*10,0))</f>
        <v>░░░░░░░░░░</v>
      </c>
      <c r="P88" s="5"/>
      <c r="Q88" s="5"/>
      <c r="R88" s="5"/>
      <c r="S88" s="5"/>
      <c r="T88" s="5"/>
    </row>
    <row r="89" customFormat="false" ht="15" hidden="false" customHeight="true" outlineLevel="0" collapsed="false">
      <c r="A89" s="5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67" t="n">
        <f aca="false">((IF(I89="Sí",1,0))+(IF(J89="Sí",1,0))+(IF(OR(G89="Aprobado",G89="Programado",G89="Publicado"),1,0)))/3</f>
        <v>0</v>
      </c>
      <c r="O89" s="68" t="str">
        <f aca="false">REPT("█",ROUND(N89*10,0))&amp;REPT("░",10-ROUND(N89*10,0))</f>
        <v>░░░░░░░░░░</v>
      </c>
      <c r="P89" s="5"/>
      <c r="Q89" s="5"/>
      <c r="R89" s="5"/>
      <c r="S89" s="5"/>
      <c r="T89" s="5"/>
    </row>
    <row r="90" customFormat="false" ht="15" hidden="false" customHeight="true" outlineLevel="0" collapsed="false">
      <c r="A90" s="5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1" t="n">
        <f aca="false">((IF(I90="Sí",1,0))+(IF(J90="Sí",1,0))+(IF(OR(G90="Aprobado",G90="Programado",G90="Publicado"),1,0)))/3</f>
        <v>0</v>
      </c>
      <c r="O90" s="72" t="str">
        <f aca="false">REPT("█",ROUND(N90*10,0))&amp;REPT("░",10-ROUND(N90*10,0))</f>
        <v>░░░░░░░░░░</v>
      </c>
      <c r="P90" s="5"/>
      <c r="Q90" s="5"/>
      <c r="R90" s="5"/>
      <c r="S90" s="5"/>
      <c r="T90" s="5"/>
    </row>
    <row r="91" customFormat="false" ht="15" hidden="false" customHeight="true" outlineLevel="0" collapsed="false">
      <c r="A91" s="5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67" t="n">
        <f aca="false">((IF(I91="Sí",1,0))+(IF(J91="Sí",1,0))+(IF(OR(G91="Aprobado",G91="Programado",G91="Publicado"),1,0)))/3</f>
        <v>0</v>
      </c>
      <c r="O91" s="68" t="str">
        <f aca="false">REPT("█",ROUND(N91*10,0))&amp;REPT("░",10-ROUND(N91*10,0))</f>
        <v>░░░░░░░░░░</v>
      </c>
      <c r="P91" s="5"/>
      <c r="Q91" s="5"/>
      <c r="R91" s="5"/>
      <c r="S91" s="5"/>
      <c r="T91" s="5"/>
    </row>
    <row r="92" customFormat="false" ht="15" hidden="false" customHeight="true" outlineLevel="0" collapsed="false">
      <c r="A92" s="5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1" t="n">
        <f aca="false">((IF(I92="Sí",1,0))+(IF(J92="Sí",1,0))+(IF(OR(G92="Aprobado",G92="Programado",G92="Publicado"),1,0)))/3</f>
        <v>0</v>
      </c>
      <c r="O92" s="72" t="str">
        <f aca="false">REPT("█",ROUND(N92*10,0))&amp;REPT("░",10-ROUND(N92*10,0))</f>
        <v>░░░░░░░░░░</v>
      </c>
      <c r="P92" s="5"/>
      <c r="Q92" s="5"/>
      <c r="R92" s="5"/>
      <c r="S92" s="5"/>
      <c r="T92" s="5"/>
    </row>
    <row r="93" customFormat="false" ht="15" hidden="false" customHeight="true" outlineLevel="0" collapsed="false">
      <c r="A93" s="5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67" t="n">
        <f aca="false">((IF(I93="Sí",1,0))+(IF(J93="Sí",1,0))+(IF(OR(G93="Aprobado",G93="Programado",G93="Publicado"),1,0)))/3</f>
        <v>0</v>
      </c>
      <c r="O93" s="68" t="str">
        <f aca="false">REPT("█",ROUND(N93*10,0))&amp;REPT("░",10-ROUND(N93*10,0))</f>
        <v>░░░░░░░░░░</v>
      </c>
      <c r="P93" s="5"/>
      <c r="Q93" s="5"/>
      <c r="R93" s="5"/>
      <c r="S93" s="5"/>
      <c r="T93" s="5"/>
    </row>
    <row r="94" customFormat="false" ht="15" hidden="false" customHeight="true" outlineLevel="0" collapsed="false">
      <c r="A94" s="5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1" t="n">
        <f aca="false">((IF(I94="Sí",1,0))+(IF(J94="Sí",1,0))+(IF(OR(G94="Aprobado",G94="Programado",G94="Publicado"),1,0)))/3</f>
        <v>0</v>
      </c>
      <c r="O94" s="72" t="str">
        <f aca="false">REPT("█",ROUND(N94*10,0))&amp;REPT("░",10-ROUND(N94*10,0))</f>
        <v>░░░░░░░░░░</v>
      </c>
      <c r="P94" s="5"/>
      <c r="Q94" s="5"/>
      <c r="R94" s="5"/>
      <c r="S94" s="5"/>
      <c r="T94" s="5"/>
    </row>
    <row r="95" customFormat="false" ht="15" hidden="false" customHeight="true" outlineLevel="0" collapsed="false">
      <c r="A95" s="5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67" t="n">
        <f aca="false">((IF(I95="Sí",1,0))+(IF(J95="Sí",1,0))+(IF(OR(G95="Aprobado",G95="Programado",G95="Publicado"),1,0)))/3</f>
        <v>0</v>
      </c>
      <c r="O95" s="68" t="str">
        <f aca="false">REPT("█",ROUND(N95*10,0))&amp;REPT("░",10-ROUND(N95*10,0))</f>
        <v>░░░░░░░░░░</v>
      </c>
      <c r="P95" s="5"/>
      <c r="Q95" s="5"/>
      <c r="R95" s="5"/>
      <c r="S95" s="5"/>
      <c r="T95" s="5"/>
    </row>
    <row r="96" customFormat="false" ht="15" hidden="false" customHeight="true" outlineLevel="0" collapsed="false">
      <c r="A96" s="5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1" t="n">
        <f aca="false">((IF(I96="Sí",1,0))+(IF(J96="Sí",1,0))+(IF(OR(G96="Aprobado",G96="Programado",G96="Publicado"),1,0)))/3</f>
        <v>0</v>
      </c>
      <c r="O96" s="72" t="str">
        <f aca="false">REPT("█",ROUND(N96*10,0))&amp;REPT("░",10-ROUND(N96*10,0))</f>
        <v>░░░░░░░░░░</v>
      </c>
      <c r="P96" s="5"/>
      <c r="Q96" s="5"/>
      <c r="R96" s="5"/>
      <c r="S96" s="5"/>
      <c r="T96" s="5"/>
    </row>
    <row r="97" customFormat="false" ht="15" hidden="false" customHeight="true" outlineLevel="0" collapsed="false">
      <c r="A97" s="5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67" t="n">
        <f aca="false">((IF(I97="Sí",1,0))+(IF(J97="Sí",1,0))+(IF(OR(G97="Aprobado",G97="Programado",G97="Publicado"),1,0)))/3</f>
        <v>0</v>
      </c>
      <c r="O97" s="68" t="str">
        <f aca="false">REPT("█",ROUND(N97*10,0))&amp;REPT("░",10-ROUND(N97*10,0))</f>
        <v>░░░░░░░░░░</v>
      </c>
      <c r="P97" s="5"/>
      <c r="Q97" s="5"/>
      <c r="R97" s="5"/>
      <c r="S97" s="5"/>
      <c r="T97" s="5"/>
    </row>
    <row r="98" customFormat="false" ht="15" hidden="false" customHeight="true" outlineLevel="0" collapsed="false">
      <c r="A98" s="5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1" t="n">
        <f aca="false">((IF(I98="Sí",1,0))+(IF(J98="Sí",1,0))+(IF(OR(G98="Aprobado",G98="Programado",G98="Publicado"),1,0)))/3</f>
        <v>0</v>
      </c>
      <c r="O98" s="72" t="str">
        <f aca="false">REPT("█",ROUND(N98*10,0))&amp;REPT("░",10-ROUND(N98*10,0))</f>
        <v>░░░░░░░░░░</v>
      </c>
      <c r="P98" s="5"/>
      <c r="Q98" s="5"/>
      <c r="R98" s="5"/>
      <c r="S98" s="5"/>
      <c r="T98" s="5"/>
    </row>
    <row r="99" customFormat="false" ht="15" hidden="false" customHeight="true" outlineLevel="0" collapsed="false">
      <c r="A99" s="5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67" t="n">
        <f aca="false">((IF(I99="Sí",1,0))+(IF(J99="Sí",1,0))+(IF(OR(G99="Aprobado",G99="Programado",G99="Publicado"),1,0)))/3</f>
        <v>0</v>
      </c>
      <c r="O99" s="68" t="str">
        <f aca="false">REPT("█",ROUND(N99*10,0))&amp;REPT("░",10-ROUND(N99*10,0))</f>
        <v>░░░░░░░░░░</v>
      </c>
      <c r="P99" s="5"/>
      <c r="Q99" s="5"/>
      <c r="R99" s="5"/>
      <c r="S99" s="5"/>
      <c r="T99" s="5"/>
    </row>
    <row r="100" customFormat="false" ht="15" hidden="false" customHeight="true" outlineLevel="0" collapsed="false">
      <c r="A100" s="5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1" t="n">
        <f aca="false">((IF(I100="Sí",1,0))+(IF(J100="Sí",1,0))+(IF(OR(G100="Aprobado",G100="Programado",G100="Publicado"),1,0)))/3</f>
        <v>0</v>
      </c>
      <c r="O100" s="72" t="str">
        <f aca="false">REPT("█",ROUND(N100*10,0))&amp;REPT("░",10-ROUND(N100*10,0))</f>
        <v>░░░░░░░░░░</v>
      </c>
      <c r="P100" s="5"/>
      <c r="Q100" s="5"/>
      <c r="R100" s="5"/>
      <c r="S100" s="5"/>
      <c r="T100" s="5"/>
    </row>
    <row r="101" customFormat="false" ht="15" hidden="false" customHeight="true" outlineLevel="0" collapsed="false">
      <c r="A101" s="5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67" t="n">
        <f aca="false">((IF(I101="Sí",1,0))+(IF(J101="Sí",1,0))+(IF(OR(G101="Aprobado",G101="Programado",G101="Publicado"),1,0)))/3</f>
        <v>0</v>
      </c>
      <c r="O101" s="68" t="str">
        <f aca="false">REPT("█",ROUND(N101*10,0))&amp;REPT("░",10-ROUND(N101*10,0))</f>
        <v>░░░░░░░░░░</v>
      </c>
      <c r="P101" s="5"/>
      <c r="Q101" s="5"/>
      <c r="R101" s="5"/>
      <c r="S101" s="5"/>
      <c r="T101" s="5"/>
    </row>
    <row r="102" customFormat="false" ht="15" hidden="false" customHeight="true" outlineLevel="0" collapsed="false">
      <c r="A102" s="5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1" t="n">
        <f aca="false">((IF(I102="Sí",1,0))+(IF(J102="Sí",1,0))+(IF(OR(G102="Aprobado",G102="Programado",G102="Publicado"),1,0)))/3</f>
        <v>0</v>
      </c>
      <c r="O102" s="72" t="str">
        <f aca="false">REPT("█",ROUND(N102*10,0))&amp;REPT("░",10-ROUND(N102*10,0))</f>
        <v>░░░░░░░░░░</v>
      </c>
      <c r="P102" s="5"/>
      <c r="Q102" s="5"/>
      <c r="R102" s="5"/>
      <c r="S102" s="5"/>
      <c r="T102" s="5"/>
    </row>
    <row r="103" customFormat="false" ht="15" hidden="false" customHeight="true" outlineLevel="0" collapsed="false">
      <c r="A103" s="5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67" t="n">
        <f aca="false">((IF(I103="Sí",1,0))+(IF(J103="Sí",1,0))+(IF(OR(G103="Aprobado",G103="Programado",G103="Publicado"),1,0)))/3</f>
        <v>0</v>
      </c>
      <c r="O103" s="68" t="str">
        <f aca="false">REPT("█",ROUND(N103*10,0))&amp;REPT("░",10-ROUND(N103*10,0))</f>
        <v>░░░░░░░░░░</v>
      </c>
      <c r="P103" s="5"/>
      <c r="Q103" s="5"/>
      <c r="R103" s="5"/>
      <c r="S103" s="5"/>
      <c r="T103" s="5"/>
    </row>
    <row r="104" customFormat="false" ht="15" hidden="false" customHeight="true" outlineLevel="0" collapsed="false">
      <c r="A104" s="5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1" t="n">
        <f aca="false">((IF(I104="Sí",1,0))+(IF(J104="Sí",1,0))+(IF(OR(G104="Aprobado",G104="Programado",G104="Publicado"),1,0)))/3</f>
        <v>0</v>
      </c>
      <c r="O104" s="72" t="str">
        <f aca="false">REPT("█",ROUND(N104*10,0))&amp;REPT("░",10-ROUND(N104*10,0))</f>
        <v>░░░░░░░░░░</v>
      </c>
      <c r="P104" s="5"/>
      <c r="Q104" s="5"/>
      <c r="R104" s="5"/>
      <c r="S104" s="5"/>
      <c r="T104" s="5"/>
    </row>
    <row r="105" customFormat="false" ht="15" hidden="false" customHeight="true" outlineLevel="0" collapsed="false">
      <c r="A105" s="5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67" t="n">
        <f aca="false">((IF(I105="Sí",1,0))+(IF(J105="Sí",1,0))+(IF(OR(G105="Aprobado",G105="Programado",G105="Publicado"),1,0)))/3</f>
        <v>0</v>
      </c>
      <c r="O105" s="68" t="str">
        <f aca="false">REPT("█",ROUND(N105*10,0))&amp;REPT("░",10-ROUND(N105*10,0))</f>
        <v>░░░░░░░░░░</v>
      </c>
      <c r="P105" s="5"/>
      <c r="Q105" s="5"/>
      <c r="R105" s="5"/>
      <c r="S105" s="5"/>
      <c r="T105" s="5"/>
    </row>
    <row r="106" customFormat="false" ht="15" hidden="false" customHeight="true" outlineLevel="0" collapsed="false">
      <c r="A106" s="5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1" t="n">
        <f aca="false">((IF(I106="Sí",1,0))+(IF(J106="Sí",1,0))+(IF(OR(G106="Aprobado",G106="Programado",G106="Publicado"),1,0)))/3</f>
        <v>0</v>
      </c>
      <c r="O106" s="72" t="str">
        <f aca="false">REPT("█",ROUND(N106*10,0))&amp;REPT("░",10-ROUND(N106*10,0))</f>
        <v>░░░░░░░░░░</v>
      </c>
      <c r="P106" s="5"/>
      <c r="Q106" s="5"/>
      <c r="R106" s="5"/>
      <c r="S106" s="5"/>
      <c r="T106" s="5"/>
    </row>
    <row r="107" customFormat="false" ht="15" hidden="false" customHeight="true" outlineLevel="0" collapsed="false">
      <c r="A107" s="5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67" t="n">
        <f aca="false">((IF(I107="Sí",1,0))+(IF(J107="Sí",1,0))+(IF(OR(G107="Aprobado",G107="Programado",G107="Publicado"),1,0)))/3</f>
        <v>0</v>
      </c>
      <c r="O107" s="68" t="str">
        <f aca="false">REPT("█",ROUND(N107*10,0))&amp;REPT("░",10-ROUND(N107*10,0))</f>
        <v>░░░░░░░░░░</v>
      </c>
      <c r="P107" s="5"/>
      <c r="Q107" s="5"/>
      <c r="R107" s="5"/>
      <c r="S107" s="5"/>
      <c r="T107" s="5"/>
    </row>
    <row r="108" customFormat="false" ht="15" hidden="false" customHeight="true" outlineLevel="0" collapsed="false">
      <c r="A108" s="5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1" t="n">
        <f aca="false">((IF(I108="Sí",1,0))+(IF(J108="Sí",1,0))+(IF(OR(G108="Aprobado",G108="Programado",G108="Publicado"),1,0)))/3</f>
        <v>0</v>
      </c>
      <c r="O108" s="72" t="str">
        <f aca="false">REPT("█",ROUND(N108*10,0))&amp;REPT("░",10-ROUND(N108*10,0))</f>
        <v>░░░░░░░░░░</v>
      </c>
      <c r="P108" s="5"/>
      <c r="Q108" s="5"/>
      <c r="R108" s="5"/>
      <c r="S108" s="5"/>
      <c r="T108" s="5"/>
    </row>
    <row r="109" customFormat="false" ht="15" hidden="false" customHeight="true" outlineLevel="0" collapsed="false">
      <c r="A109" s="5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67" t="n">
        <f aca="false">((IF(I109="Sí",1,0))+(IF(J109="Sí",1,0))+(IF(OR(G109="Aprobado",G109="Programado",G109="Publicado"),1,0)))/3</f>
        <v>0</v>
      </c>
      <c r="O109" s="68" t="str">
        <f aca="false">REPT("█",ROUND(N109*10,0))&amp;REPT("░",10-ROUND(N109*10,0))</f>
        <v>░░░░░░░░░░</v>
      </c>
      <c r="P109" s="5"/>
      <c r="Q109" s="5"/>
      <c r="R109" s="5"/>
      <c r="S109" s="5"/>
      <c r="T109" s="5"/>
    </row>
    <row r="110" customFormat="false" ht="15" hidden="false" customHeight="true" outlineLevel="0" collapsed="false">
      <c r="A110" s="5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1" t="n">
        <f aca="false">((IF(I110="Sí",1,0))+(IF(J110="Sí",1,0))+(IF(OR(G110="Aprobado",G110="Programado",G110="Publicado"),1,0)))/3</f>
        <v>0</v>
      </c>
      <c r="O110" s="72" t="str">
        <f aca="false">REPT("█",ROUND(N110*10,0))&amp;REPT("░",10-ROUND(N110*10,0))</f>
        <v>░░░░░░░░░░</v>
      </c>
      <c r="P110" s="5"/>
      <c r="Q110" s="5"/>
      <c r="R110" s="5"/>
      <c r="S110" s="5"/>
      <c r="T110" s="5"/>
    </row>
    <row r="111" customFormat="false" ht="15" hidden="false" customHeight="true" outlineLevel="0" collapsed="false">
      <c r="A111" s="5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67" t="n">
        <f aca="false">((IF(I111="Sí",1,0))+(IF(J111="Sí",1,0))+(IF(OR(G111="Aprobado",G111="Programado",G111="Publicado"),1,0)))/3</f>
        <v>0</v>
      </c>
      <c r="O111" s="68" t="str">
        <f aca="false">REPT("█",ROUND(N111*10,0))&amp;REPT("░",10-ROUND(N111*10,0))</f>
        <v>░░░░░░░░░░</v>
      </c>
      <c r="P111" s="5"/>
      <c r="Q111" s="5"/>
      <c r="R111" s="5"/>
      <c r="S111" s="5"/>
      <c r="T111" s="5"/>
    </row>
    <row r="112" customFormat="false" ht="15" hidden="false" customHeight="true" outlineLevel="0" collapsed="false">
      <c r="A112" s="5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1" t="n">
        <f aca="false">((IF(I112="Sí",1,0))+(IF(J112="Sí",1,0))+(IF(OR(G112="Aprobado",G112="Programado",G112="Publicado"),1,0)))/3</f>
        <v>0</v>
      </c>
      <c r="O112" s="72" t="str">
        <f aca="false">REPT("█",ROUND(N112*10,0))&amp;REPT("░",10-ROUND(N112*10,0))</f>
        <v>░░░░░░░░░░</v>
      </c>
      <c r="P112" s="5"/>
      <c r="Q112" s="5"/>
      <c r="R112" s="5"/>
      <c r="S112" s="5"/>
      <c r="T112" s="5"/>
    </row>
    <row r="113" customFormat="false" ht="15" hidden="false" customHeight="true" outlineLevel="0" collapsed="false">
      <c r="A113" s="5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67" t="n">
        <f aca="false">((IF(I113="Sí",1,0))+(IF(J113="Sí",1,0))+(IF(OR(G113="Aprobado",G113="Programado",G113="Publicado"),1,0)))/3</f>
        <v>0</v>
      </c>
      <c r="O113" s="68" t="str">
        <f aca="false">REPT("█",ROUND(N113*10,0))&amp;REPT("░",10-ROUND(N113*10,0))</f>
        <v>░░░░░░░░░░</v>
      </c>
      <c r="P113" s="5"/>
      <c r="Q113" s="5"/>
      <c r="R113" s="5"/>
      <c r="S113" s="5"/>
      <c r="T113" s="5"/>
    </row>
    <row r="114" customFormat="false" ht="15" hidden="false" customHeight="true" outlineLevel="0" collapsed="false">
      <c r="A114" s="5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1" t="n">
        <f aca="false">((IF(I114="Sí",1,0))+(IF(J114="Sí",1,0))+(IF(OR(G114="Aprobado",G114="Programado",G114="Publicado"),1,0)))/3</f>
        <v>0</v>
      </c>
      <c r="O114" s="72" t="str">
        <f aca="false">REPT("█",ROUND(N114*10,0))&amp;REPT("░",10-ROUND(N114*10,0))</f>
        <v>░░░░░░░░░░</v>
      </c>
      <c r="P114" s="5"/>
      <c r="Q114" s="5"/>
      <c r="R114" s="5"/>
      <c r="S114" s="5"/>
      <c r="T114" s="5"/>
    </row>
    <row r="115" customFormat="false" ht="15" hidden="false" customHeight="true" outlineLevel="0" collapsed="false">
      <c r="A115" s="5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67" t="n">
        <f aca="false">((IF(I115="Sí",1,0))+(IF(J115="Sí",1,0))+(IF(OR(G115="Aprobado",G115="Programado",G115="Publicado"),1,0)))/3</f>
        <v>0</v>
      </c>
      <c r="O115" s="68" t="str">
        <f aca="false">REPT("█",ROUND(N115*10,0))&amp;REPT("░",10-ROUND(N115*10,0))</f>
        <v>░░░░░░░░░░</v>
      </c>
      <c r="P115" s="5"/>
      <c r="Q115" s="5"/>
      <c r="R115" s="5"/>
      <c r="S115" s="5"/>
      <c r="T115" s="5"/>
    </row>
    <row r="116" customFormat="false" ht="15" hidden="false" customHeight="true" outlineLevel="0" collapsed="false">
      <c r="A116" s="5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1" t="n">
        <f aca="false">((IF(I116="Sí",1,0))+(IF(J116="Sí",1,0))+(IF(OR(G116="Aprobado",G116="Programado",G116="Publicado"),1,0)))/3</f>
        <v>0</v>
      </c>
      <c r="O116" s="72" t="str">
        <f aca="false">REPT("█",ROUND(N116*10,0))&amp;REPT("░",10-ROUND(N116*10,0))</f>
        <v>░░░░░░░░░░</v>
      </c>
      <c r="P116" s="5"/>
      <c r="Q116" s="5"/>
      <c r="R116" s="5"/>
      <c r="S116" s="5"/>
      <c r="T116" s="5"/>
    </row>
    <row r="117" customFormat="false" ht="15" hidden="false" customHeight="true" outlineLevel="0" collapsed="false">
      <c r="A117" s="5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67" t="n">
        <f aca="false">((IF(I117="Sí",1,0))+(IF(J117="Sí",1,0))+(IF(OR(G117="Aprobado",G117="Programado",G117="Publicado"),1,0)))/3</f>
        <v>0</v>
      </c>
      <c r="O117" s="68" t="str">
        <f aca="false">REPT("█",ROUND(N117*10,0))&amp;REPT("░",10-ROUND(N117*10,0))</f>
        <v>░░░░░░░░░░</v>
      </c>
      <c r="P117" s="5"/>
      <c r="Q117" s="5"/>
      <c r="R117" s="5"/>
      <c r="S117" s="5"/>
      <c r="T117" s="5"/>
    </row>
    <row r="118" customFormat="false" ht="15" hidden="false" customHeight="true" outlineLevel="0" collapsed="false">
      <c r="A118" s="5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1" t="n">
        <f aca="false">((IF(I118="Sí",1,0))+(IF(J118="Sí",1,0))+(IF(OR(G118="Aprobado",G118="Programado",G118="Publicado"),1,0)))/3</f>
        <v>0</v>
      </c>
      <c r="O118" s="72" t="str">
        <f aca="false">REPT("█",ROUND(N118*10,0))&amp;REPT("░",10-ROUND(N118*10,0))</f>
        <v>░░░░░░░░░░</v>
      </c>
      <c r="P118" s="5"/>
      <c r="Q118" s="5"/>
      <c r="R118" s="5"/>
      <c r="S118" s="5"/>
      <c r="T118" s="5"/>
    </row>
    <row r="119" customFormat="false" ht="15" hidden="false" customHeight="true" outlineLevel="0" collapsed="false">
      <c r="A119" s="5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67" t="n">
        <f aca="false">((IF(I119="Sí",1,0))+(IF(J119="Sí",1,0))+(IF(OR(G119="Aprobado",G119="Programado",G119="Publicado"),1,0)))/3</f>
        <v>0</v>
      </c>
      <c r="O119" s="68" t="str">
        <f aca="false">REPT("█",ROUND(N119*10,0))&amp;REPT("░",10-ROUND(N119*10,0))</f>
        <v>░░░░░░░░░░</v>
      </c>
      <c r="P119" s="5"/>
      <c r="Q119" s="5"/>
      <c r="R119" s="5"/>
      <c r="S119" s="5"/>
      <c r="T119" s="5"/>
    </row>
    <row r="120" customFormat="false" ht="15" hidden="false" customHeight="true" outlineLevel="0" collapsed="false">
      <c r="A120" s="5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1" t="n">
        <f aca="false">((IF(I120="Sí",1,0))+(IF(J120="Sí",1,0))+(IF(OR(G120="Aprobado",G120="Programado",G120="Publicado"),1,0)))/3</f>
        <v>0</v>
      </c>
      <c r="O120" s="72" t="str">
        <f aca="false">REPT("█",ROUND(N120*10,0))&amp;REPT("░",10-ROUND(N120*10,0))</f>
        <v>░░░░░░░░░░</v>
      </c>
      <c r="P120" s="5"/>
      <c r="Q120" s="5"/>
      <c r="R120" s="5"/>
      <c r="S120" s="5"/>
      <c r="T120" s="5"/>
    </row>
    <row r="121" customFormat="false" ht="15" hidden="false" customHeight="true" outlineLevel="0" collapsed="false">
      <c r="A121" s="5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67" t="n">
        <f aca="false">((IF(I121="Sí",1,0))+(IF(J121="Sí",1,0))+(IF(OR(G121="Aprobado",G121="Programado",G121="Publicado"),1,0)))/3</f>
        <v>0</v>
      </c>
      <c r="O121" s="68" t="str">
        <f aca="false">REPT("█",ROUND(N121*10,0))&amp;REPT("░",10-ROUND(N121*10,0))</f>
        <v>░░░░░░░░░░</v>
      </c>
      <c r="P121" s="5"/>
      <c r="Q121" s="5"/>
      <c r="R121" s="5"/>
      <c r="S121" s="5"/>
      <c r="T121" s="5"/>
    </row>
    <row r="122" customFormat="false" ht="15" hidden="false" customHeight="true" outlineLevel="0" collapsed="false">
      <c r="A122" s="5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1" t="n">
        <f aca="false">((IF(I122="Sí",1,0))+(IF(J122="Sí",1,0))+(IF(OR(G122="Aprobado",G122="Programado",G122="Publicado"),1,0)))/3</f>
        <v>0</v>
      </c>
      <c r="O122" s="72" t="str">
        <f aca="false">REPT("█",ROUND(N122*10,0))&amp;REPT("░",10-ROUND(N122*10,0))</f>
        <v>░░░░░░░░░░</v>
      </c>
      <c r="P122" s="5"/>
      <c r="Q122" s="5"/>
      <c r="R122" s="5"/>
      <c r="S122" s="5"/>
      <c r="T122" s="5"/>
    </row>
    <row r="123" customFormat="false" ht="15" hidden="false" customHeight="true" outlineLevel="0" collapsed="false">
      <c r="A123" s="5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67" t="n">
        <f aca="false">((IF(I123="Sí",1,0))+(IF(J123="Sí",1,0))+(IF(OR(G123="Aprobado",G123="Programado",G123="Publicado"),1,0)))/3</f>
        <v>0</v>
      </c>
      <c r="O123" s="68" t="str">
        <f aca="false">REPT("█",ROUND(N123*10,0))&amp;REPT("░",10-ROUND(N123*10,0))</f>
        <v>░░░░░░░░░░</v>
      </c>
      <c r="P123" s="5"/>
      <c r="Q123" s="5"/>
      <c r="R123" s="5"/>
      <c r="S123" s="5"/>
      <c r="T123" s="5"/>
    </row>
    <row r="124" customFormat="false" ht="15" hidden="false" customHeight="true" outlineLevel="0" collapsed="false">
      <c r="A124" s="5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1" t="n">
        <f aca="false">((IF(I124="Sí",1,0))+(IF(J124="Sí",1,0))+(IF(OR(G124="Aprobado",G124="Programado",G124="Publicado"),1,0)))/3</f>
        <v>0</v>
      </c>
      <c r="O124" s="72" t="str">
        <f aca="false">REPT("█",ROUND(N124*10,0))&amp;REPT("░",10-ROUND(N124*10,0))</f>
        <v>░░░░░░░░░░</v>
      </c>
      <c r="P124" s="5"/>
      <c r="Q124" s="5"/>
      <c r="R124" s="5"/>
      <c r="S124" s="5"/>
      <c r="T124" s="5"/>
    </row>
    <row r="125" customFormat="false" ht="15" hidden="false" customHeight="true" outlineLevel="0" collapsed="false">
      <c r="A125" s="5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67" t="n">
        <f aca="false">((IF(I125="Sí",1,0))+(IF(J125="Sí",1,0))+(IF(OR(G125="Aprobado",G125="Programado",G125="Publicado"),1,0)))/3</f>
        <v>0</v>
      </c>
      <c r="O125" s="68" t="str">
        <f aca="false">REPT("█",ROUND(N125*10,0))&amp;REPT("░",10-ROUND(N125*10,0))</f>
        <v>░░░░░░░░░░</v>
      </c>
      <c r="P125" s="5"/>
      <c r="Q125" s="5"/>
      <c r="R125" s="5"/>
      <c r="S125" s="5"/>
      <c r="T125" s="5"/>
    </row>
    <row r="126" customFormat="false" ht="15" hidden="false" customHeight="true" outlineLevel="0" collapsed="false">
      <c r="A126" s="5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1" t="n">
        <f aca="false">((IF(I126="Sí",1,0))+(IF(J126="Sí",1,0))+(IF(OR(G126="Aprobado",G126="Programado",G126="Publicado"),1,0)))/3</f>
        <v>0</v>
      </c>
      <c r="O126" s="72" t="str">
        <f aca="false">REPT("█",ROUND(N126*10,0))&amp;REPT("░",10-ROUND(N126*10,0))</f>
        <v>░░░░░░░░░░</v>
      </c>
      <c r="P126" s="5"/>
      <c r="Q126" s="5"/>
      <c r="R126" s="5"/>
      <c r="S126" s="5"/>
      <c r="T126" s="5"/>
    </row>
    <row r="127" customFormat="false" ht="15" hidden="false" customHeight="true" outlineLevel="0" collapsed="false">
      <c r="A127" s="5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67" t="n">
        <f aca="false">((IF(I127="Sí",1,0))+(IF(J127="Sí",1,0))+(IF(OR(G127="Aprobado",G127="Programado",G127="Publicado"),1,0)))/3</f>
        <v>0</v>
      </c>
      <c r="O127" s="68" t="str">
        <f aca="false">REPT("█",ROUND(N127*10,0))&amp;REPT("░",10-ROUND(N127*10,0))</f>
        <v>░░░░░░░░░░</v>
      </c>
      <c r="P127" s="5"/>
      <c r="Q127" s="5"/>
      <c r="R127" s="5"/>
      <c r="S127" s="5"/>
      <c r="T127" s="5"/>
    </row>
    <row r="128" customFormat="false" ht="15" hidden="false" customHeight="true" outlineLevel="0" collapsed="false">
      <c r="A128" s="5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1" t="n">
        <f aca="false">((IF(I128="Sí",1,0))+(IF(J128="Sí",1,0))+(IF(OR(G128="Aprobado",G128="Programado",G128="Publicado"),1,0)))/3</f>
        <v>0</v>
      </c>
      <c r="O128" s="72" t="str">
        <f aca="false">REPT("█",ROUND(N128*10,0))&amp;REPT("░",10-ROUND(N128*10,0))</f>
        <v>░░░░░░░░░░</v>
      </c>
      <c r="P128" s="5"/>
      <c r="Q128" s="5"/>
      <c r="R128" s="5"/>
      <c r="S128" s="5"/>
      <c r="T128" s="5"/>
    </row>
    <row r="129" customFormat="false" ht="15" hidden="false" customHeight="true" outlineLevel="0" collapsed="false">
      <c r="A129" s="5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67" t="n">
        <f aca="false">((IF(I129="Sí",1,0))+(IF(J129="Sí",1,0))+(IF(OR(G129="Aprobado",G129="Programado",G129="Publicado"),1,0)))/3</f>
        <v>0</v>
      </c>
      <c r="O129" s="68" t="str">
        <f aca="false">REPT("█",ROUND(N129*10,0))&amp;REPT("░",10-ROUND(N129*10,0))</f>
        <v>░░░░░░░░░░</v>
      </c>
      <c r="P129" s="5"/>
      <c r="Q129" s="5"/>
      <c r="R129" s="5"/>
      <c r="S129" s="5"/>
      <c r="T129" s="5"/>
    </row>
    <row r="130" customFormat="false" ht="15" hidden="false" customHeight="true" outlineLevel="0" collapsed="false">
      <c r="A130" s="5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1" t="n">
        <f aca="false">((IF(I130="Sí",1,0))+(IF(J130="Sí",1,0))+(IF(OR(G130="Aprobado",G130="Programado",G130="Publicado"),1,0)))/3</f>
        <v>0</v>
      </c>
      <c r="O130" s="72" t="str">
        <f aca="false">REPT("█",ROUND(N130*10,0))&amp;REPT("░",10-ROUND(N130*10,0))</f>
        <v>░░░░░░░░░░</v>
      </c>
      <c r="P130" s="5"/>
      <c r="Q130" s="5"/>
      <c r="R130" s="5"/>
      <c r="S130" s="5"/>
      <c r="T130" s="5"/>
    </row>
    <row r="131" customFormat="false" ht="15" hidden="false" customHeight="true" outlineLevel="0" collapsed="false">
      <c r="A131" s="5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67" t="n">
        <f aca="false">((IF(I131="Sí",1,0))+(IF(J131="Sí",1,0))+(IF(OR(G131="Aprobado",G131="Programado",G131="Publicado"),1,0)))/3</f>
        <v>0</v>
      </c>
      <c r="O131" s="68" t="str">
        <f aca="false">REPT("█",ROUND(N131*10,0))&amp;REPT("░",10-ROUND(N131*10,0))</f>
        <v>░░░░░░░░░░</v>
      </c>
      <c r="P131" s="5"/>
      <c r="Q131" s="5"/>
      <c r="R131" s="5"/>
      <c r="S131" s="5"/>
      <c r="T131" s="5"/>
    </row>
    <row r="132" customFormat="false" ht="15" hidden="false" customHeight="true" outlineLevel="0" collapsed="false">
      <c r="A132" s="5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1" t="n">
        <f aca="false">((IF(I132="Sí",1,0))+(IF(J132="Sí",1,0))+(IF(OR(G132="Aprobado",G132="Programado",G132="Publicado"),1,0)))/3</f>
        <v>0</v>
      </c>
      <c r="O132" s="72" t="str">
        <f aca="false">REPT("█",ROUND(N132*10,0))&amp;REPT("░",10-ROUND(N132*10,0))</f>
        <v>░░░░░░░░░░</v>
      </c>
      <c r="P132" s="5"/>
      <c r="Q132" s="5"/>
      <c r="R132" s="5"/>
      <c r="S132" s="5"/>
      <c r="T132" s="5"/>
    </row>
    <row r="133" customFormat="false" ht="15" hidden="false" customHeight="true" outlineLevel="0" collapsed="false">
      <c r="A133" s="5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67" t="n">
        <f aca="false">((IF(I133="Sí",1,0))+(IF(J133="Sí",1,0))+(IF(OR(G133="Aprobado",G133="Programado",G133="Publicado"),1,0)))/3</f>
        <v>0</v>
      </c>
      <c r="O133" s="68" t="str">
        <f aca="false">REPT("█",ROUND(N133*10,0))&amp;REPT("░",10-ROUND(N133*10,0))</f>
        <v>░░░░░░░░░░</v>
      </c>
      <c r="P133" s="5"/>
      <c r="Q133" s="5"/>
      <c r="R133" s="5"/>
      <c r="S133" s="5"/>
      <c r="T133" s="5"/>
    </row>
    <row r="134" customFormat="false" ht="15" hidden="false" customHeight="true" outlineLevel="0" collapsed="false">
      <c r="A134" s="5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1" t="n">
        <f aca="false">((IF(I134="Sí",1,0))+(IF(J134="Sí",1,0))+(IF(OR(G134="Aprobado",G134="Programado",G134="Publicado"),1,0)))/3</f>
        <v>0</v>
      </c>
      <c r="O134" s="72" t="str">
        <f aca="false">REPT("█",ROUND(N134*10,0))&amp;REPT("░",10-ROUND(N134*10,0))</f>
        <v>░░░░░░░░░░</v>
      </c>
      <c r="P134" s="5"/>
      <c r="Q134" s="5"/>
      <c r="R134" s="5"/>
      <c r="S134" s="5"/>
      <c r="T134" s="5"/>
    </row>
    <row r="135" customFormat="false" ht="15" hidden="false" customHeight="true" outlineLevel="0" collapsed="false">
      <c r="A135" s="5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67" t="n">
        <f aca="false">((IF(I135="Sí",1,0))+(IF(J135="Sí",1,0))+(IF(OR(G135="Aprobado",G135="Programado",G135="Publicado"),1,0)))/3</f>
        <v>0</v>
      </c>
      <c r="O135" s="68" t="str">
        <f aca="false">REPT("█",ROUND(N135*10,0))&amp;REPT("░",10-ROUND(N135*10,0))</f>
        <v>░░░░░░░░░░</v>
      </c>
      <c r="P135" s="5"/>
      <c r="Q135" s="5"/>
      <c r="R135" s="5"/>
      <c r="S135" s="5"/>
      <c r="T135" s="5"/>
    </row>
    <row r="136" customFormat="false" ht="15" hidden="false" customHeight="true" outlineLevel="0" collapsed="false">
      <c r="A136" s="5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1" t="n">
        <f aca="false">((IF(I136="Sí",1,0))+(IF(J136="Sí",1,0))+(IF(OR(G136="Aprobado",G136="Programado",G136="Publicado"),1,0)))/3</f>
        <v>0</v>
      </c>
      <c r="O136" s="72" t="str">
        <f aca="false">REPT("█",ROUND(N136*10,0))&amp;REPT("░",10-ROUND(N136*10,0))</f>
        <v>░░░░░░░░░░</v>
      </c>
      <c r="P136" s="5"/>
      <c r="Q136" s="5"/>
      <c r="R136" s="5"/>
      <c r="S136" s="5"/>
      <c r="T136" s="5"/>
    </row>
    <row r="137" customFormat="false" ht="15" hidden="false" customHeight="true" outlineLevel="0" collapsed="false">
      <c r="A137" s="5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67" t="n">
        <f aca="false">((IF(I137="Sí",1,0))+(IF(J137="Sí",1,0))+(IF(OR(G137="Aprobado",G137="Programado",G137="Publicado"),1,0)))/3</f>
        <v>0</v>
      </c>
      <c r="O137" s="68" t="str">
        <f aca="false">REPT("█",ROUND(N137*10,0))&amp;REPT("░",10-ROUND(N137*10,0))</f>
        <v>░░░░░░░░░░</v>
      </c>
      <c r="P137" s="5"/>
      <c r="Q137" s="5"/>
      <c r="R137" s="5"/>
      <c r="S137" s="5"/>
      <c r="T137" s="5"/>
    </row>
    <row r="138" customFormat="false" ht="15" hidden="false" customHeight="true" outlineLevel="0" collapsed="false">
      <c r="A138" s="5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1" t="n">
        <f aca="false">((IF(I138="Sí",1,0))+(IF(J138="Sí",1,0))+(IF(OR(G138="Aprobado",G138="Programado",G138="Publicado"),1,0)))/3</f>
        <v>0</v>
      </c>
      <c r="O138" s="72" t="str">
        <f aca="false">REPT("█",ROUND(N138*10,0))&amp;REPT("░",10-ROUND(N138*10,0))</f>
        <v>░░░░░░░░░░</v>
      </c>
      <c r="P138" s="5"/>
      <c r="Q138" s="5"/>
      <c r="R138" s="5"/>
      <c r="S138" s="5"/>
      <c r="T138" s="5"/>
    </row>
    <row r="139" customFormat="false" ht="15" hidden="false" customHeight="true" outlineLevel="0" collapsed="false">
      <c r="A139" s="5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67" t="n">
        <f aca="false">((IF(I139="Sí",1,0))+(IF(J139="Sí",1,0))+(IF(OR(G139="Aprobado",G139="Programado",G139="Publicado"),1,0)))/3</f>
        <v>0</v>
      </c>
      <c r="O139" s="68" t="str">
        <f aca="false">REPT("█",ROUND(N139*10,0))&amp;REPT("░",10-ROUND(N139*10,0))</f>
        <v>░░░░░░░░░░</v>
      </c>
      <c r="P139" s="5"/>
      <c r="Q139" s="5"/>
      <c r="R139" s="5"/>
      <c r="S139" s="5"/>
      <c r="T139" s="5"/>
    </row>
    <row r="140" customFormat="false" ht="15" hidden="false" customHeight="true" outlineLevel="0" collapsed="false">
      <c r="A140" s="5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1" t="n">
        <f aca="false">((IF(I140="Sí",1,0))+(IF(J140="Sí",1,0))+(IF(OR(G140="Aprobado",G140="Programado",G140="Publicado"),1,0)))/3</f>
        <v>0</v>
      </c>
      <c r="O140" s="72" t="str">
        <f aca="false">REPT("█",ROUND(N140*10,0))&amp;REPT("░",10-ROUND(N140*10,0))</f>
        <v>░░░░░░░░░░</v>
      </c>
      <c r="P140" s="5"/>
      <c r="Q140" s="5"/>
      <c r="R140" s="5"/>
      <c r="S140" s="5"/>
      <c r="T140" s="5"/>
    </row>
    <row r="141" customFormat="false" ht="15" hidden="false" customHeight="true" outlineLevel="0" collapsed="false">
      <c r="A141" s="5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67" t="n">
        <f aca="false">((IF(I141="Sí",1,0))+(IF(J141="Sí",1,0))+(IF(OR(G141="Aprobado",G141="Programado",G141="Publicado"),1,0)))/3</f>
        <v>0</v>
      </c>
      <c r="O141" s="68" t="str">
        <f aca="false">REPT("█",ROUND(N141*10,0))&amp;REPT("░",10-ROUND(N141*10,0))</f>
        <v>░░░░░░░░░░</v>
      </c>
      <c r="P141" s="5"/>
      <c r="Q141" s="5"/>
      <c r="R141" s="5"/>
      <c r="S141" s="5"/>
      <c r="T141" s="5"/>
    </row>
    <row r="142" customFormat="false" ht="15" hidden="false" customHeight="true" outlineLevel="0" collapsed="false">
      <c r="A142" s="5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1" t="n">
        <f aca="false">((IF(I142="Sí",1,0))+(IF(J142="Sí",1,0))+(IF(OR(G142="Aprobado",G142="Programado",G142="Publicado"),1,0)))/3</f>
        <v>0</v>
      </c>
      <c r="O142" s="72" t="str">
        <f aca="false">REPT("█",ROUND(N142*10,0))&amp;REPT("░",10-ROUND(N142*10,0))</f>
        <v>░░░░░░░░░░</v>
      </c>
      <c r="P142" s="5"/>
      <c r="Q142" s="5"/>
      <c r="R142" s="5"/>
      <c r="S142" s="5"/>
      <c r="T142" s="5"/>
    </row>
    <row r="143" customFormat="false" ht="15" hidden="false" customHeight="true" outlineLevel="0" collapsed="false">
      <c r="A143" s="5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67" t="n">
        <f aca="false">((IF(I143="Sí",1,0))+(IF(J143="Sí",1,0))+(IF(OR(G143="Aprobado",G143="Programado",G143="Publicado"),1,0)))/3</f>
        <v>0</v>
      </c>
      <c r="O143" s="68" t="str">
        <f aca="false">REPT("█",ROUND(N143*10,0))&amp;REPT("░",10-ROUND(N143*10,0))</f>
        <v>░░░░░░░░░░</v>
      </c>
      <c r="P143" s="5"/>
      <c r="Q143" s="5"/>
      <c r="R143" s="5"/>
      <c r="S143" s="5"/>
      <c r="T143" s="5"/>
    </row>
    <row r="144" customFormat="false" ht="15" hidden="false" customHeight="true" outlineLevel="0" collapsed="false">
      <c r="A144" s="5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1" t="n">
        <f aca="false">((IF(I144="Sí",1,0))+(IF(J144="Sí",1,0))+(IF(OR(G144="Aprobado",G144="Programado",G144="Publicado"),1,0)))/3</f>
        <v>0</v>
      </c>
      <c r="O144" s="72" t="str">
        <f aca="false">REPT("█",ROUND(N144*10,0))&amp;REPT("░",10-ROUND(N144*10,0))</f>
        <v>░░░░░░░░░░</v>
      </c>
      <c r="P144" s="5"/>
      <c r="Q144" s="5"/>
      <c r="R144" s="5"/>
      <c r="S144" s="5"/>
      <c r="T144" s="5"/>
    </row>
    <row r="145" customFormat="false" ht="15" hidden="false" customHeight="true" outlineLevel="0" collapsed="false">
      <c r="A145" s="5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67" t="n">
        <f aca="false">((IF(I145="Sí",1,0))+(IF(J145="Sí",1,0))+(IF(OR(G145="Aprobado",G145="Programado",G145="Publicado"),1,0)))/3</f>
        <v>0</v>
      </c>
      <c r="O145" s="68" t="str">
        <f aca="false">REPT("█",ROUND(N145*10,0))&amp;REPT("░",10-ROUND(N145*10,0))</f>
        <v>░░░░░░░░░░</v>
      </c>
      <c r="P145" s="5"/>
      <c r="Q145" s="5"/>
      <c r="R145" s="5"/>
      <c r="S145" s="5"/>
      <c r="T145" s="5"/>
    </row>
    <row r="146" customFormat="false" ht="15" hidden="false" customHeight="true" outlineLevel="0" collapsed="false">
      <c r="A146" s="5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1" t="n">
        <f aca="false">((IF(I146="Sí",1,0))+(IF(J146="Sí",1,0))+(IF(OR(G146="Aprobado",G146="Programado",G146="Publicado"),1,0)))/3</f>
        <v>0</v>
      </c>
      <c r="O146" s="72" t="str">
        <f aca="false">REPT("█",ROUND(N146*10,0))&amp;REPT("░",10-ROUND(N146*10,0))</f>
        <v>░░░░░░░░░░</v>
      </c>
      <c r="P146" s="5"/>
      <c r="Q146" s="5"/>
      <c r="R146" s="5"/>
      <c r="S146" s="5"/>
      <c r="T146" s="5"/>
    </row>
    <row r="147" customFormat="false" ht="15" hidden="false" customHeight="true" outlineLevel="0" collapsed="false">
      <c r="A147" s="5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67" t="n">
        <f aca="false">((IF(I147="Sí",1,0))+(IF(J147="Sí",1,0))+(IF(OR(G147="Aprobado",G147="Programado",G147="Publicado"),1,0)))/3</f>
        <v>0</v>
      </c>
      <c r="O147" s="68" t="str">
        <f aca="false">REPT("█",ROUND(N147*10,0))&amp;REPT("░",10-ROUND(N147*10,0))</f>
        <v>░░░░░░░░░░</v>
      </c>
      <c r="P147" s="5"/>
      <c r="Q147" s="5"/>
      <c r="R147" s="5"/>
      <c r="S147" s="5"/>
      <c r="T147" s="5"/>
    </row>
    <row r="148" customFormat="false" ht="15" hidden="false" customHeight="true" outlineLevel="0" collapsed="false">
      <c r="A148" s="5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1" t="n">
        <f aca="false">((IF(I148="Sí",1,0))+(IF(J148="Sí",1,0))+(IF(OR(G148="Aprobado",G148="Programado",G148="Publicado"),1,0)))/3</f>
        <v>0</v>
      </c>
      <c r="O148" s="72" t="str">
        <f aca="false">REPT("█",ROUND(N148*10,0))&amp;REPT("░",10-ROUND(N148*10,0))</f>
        <v>░░░░░░░░░░</v>
      </c>
      <c r="P148" s="5"/>
      <c r="Q148" s="5"/>
      <c r="R148" s="5"/>
      <c r="S148" s="5"/>
      <c r="T148" s="5"/>
    </row>
    <row r="149" customFormat="false" ht="15" hidden="false" customHeight="true" outlineLevel="0" collapsed="false">
      <c r="A149" s="5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67" t="n">
        <f aca="false">((IF(I149="Sí",1,0))+(IF(J149="Sí",1,0))+(IF(OR(G149="Aprobado",G149="Programado",G149="Publicado"),1,0)))/3</f>
        <v>0</v>
      </c>
      <c r="O149" s="68" t="str">
        <f aca="false">REPT("█",ROUND(N149*10,0))&amp;REPT("░",10-ROUND(N149*10,0))</f>
        <v>░░░░░░░░░░</v>
      </c>
      <c r="P149" s="5"/>
      <c r="Q149" s="5"/>
      <c r="R149" s="5"/>
      <c r="S149" s="5"/>
      <c r="T149" s="5"/>
    </row>
    <row r="150" customFormat="false" ht="15" hidden="false" customHeight="true" outlineLevel="0" collapsed="false">
      <c r="A150" s="5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1" t="n">
        <f aca="false">((IF(I150="Sí",1,0))+(IF(J150="Sí",1,0))+(IF(OR(G150="Aprobado",G150="Programado",G150="Publicado"),1,0)))/3</f>
        <v>0</v>
      </c>
      <c r="O150" s="72" t="str">
        <f aca="false">REPT("█",ROUND(N150*10,0))&amp;REPT("░",10-ROUND(N150*10,0))</f>
        <v>░░░░░░░░░░</v>
      </c>
      <c r="P150" s="5"/>
      <c r="Q150" s="5"/>
      <c r="R150" s="5"/>
      <c r="S150" s="5"/>
      <c r="T150" s="5"/>
    </row>
    <row r="151" customFormat="false" ht="15" hidden="false" customHeight="true" outlineLevel="0" collapsed="false">
      <c r="A151" s="5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67" t="n">
        <f aca="false">((IF(I151="Sí",1,0))+(IF(J151="Sí",1,0))+(IF(OR(G151="Aprobado",G151="Programado",G151="Publicado"),1,0)))/3</f>
        <v>0</v>
      </c>
      <c r="O151" s="68" t="str">
        <f aca="false">REPT("█",ROUND(N151*10,0))&amp;REPT("░",10-ROUND(N151*10,0))</f>
        <v>░░░░░░░░░░</v>
      </c>
      <c r="P151" s="5"/>
      <c r="Q151" s="5"/>
      <c r="R151" s="5"/>
      <c r="S151" s="5"/>
      <c r="T151" s="5"/>
    </row>
    <row r="152" customFormat="false" ht="15" hidden="false" customHeight="true" outlineLevel="0" collapsed="false">
      <c r="A152" s="5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1" t="n">
        <f aca="false">((IF(I152="Sí",1,0))+(IF(J152="Sí",1,0))+(IF(OR(G152="Aprobado",G152="Programado",G152="Publicado"),1,0)))/3</f>
        <v>0</v>
      </c>
      <c r="O152" s="72" t="str">
        <f aca="false">REPT("█",ROUND(N152*10,0))&amp;REPT("░",10-ROUND(N152*10,0))</f>
        <v>░░░░░░░░░░</v>
      </c>
      <c r="P152" s="5"/>
      <c r="Q152" s="5"/>
      <c r="R152" s="5"/>
      <c r="S152" s="5"/>
      <c r="T152" s="5"/>
    </row>
    <row r="153" customFormat="false" ht="15" hidden="false" customHeight="true" outlineLevel="0" collapsed="false">
      <c r="A153" s="5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67" t="n">
        <f aca="false">((IF(I153="Sí",1,0))+(IF(J153="Sí",1,0))+(IF(OR(G153="Aprobado",G153="Programado",G153="Publicado"),1,0)))/3</f>
        <v>0</v>
      </c>
      <c r="O153" s="68" t="str">
        <f aca="false">REPT("█",ROUND(N153*10,0))&amp;REPT("░",10-ROUND(N153*10,0))</f>
        <v>░░░░░░░░░░</v>
      </c>
      <c r="P153" s="5"/>
      <c r="Q153" s="5"/>
      <c r="R153" s="5"/>
      <c r="S153" s="5"/>
      <c r="T153" s="5"/>
    </row>
    <row r="154" customFormat="false" ht="15" hidden="false" customHeight="true" outlineLevel="0" collapsed="false">
      <c r="A154" s="5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1" t="n">
        <f aca="false">((IF(I154="Sí",1,0))+(IF(J154="Sí",1,0))+(IF(OR(G154="Aprobado",G154="Programado",G154="Publicado"),1,0)))/3</f>
        <v>0</v>
      </c>
      <c r="O154" s="72" t="str">
        <f aca="false">REPT("█",ROUND(N154*10,0))&amp;REPT("░",10-ROUND(N154*10,0))</f>
        <v>░░░░░░░░░░</v>
      </c>
      <c r="P154" s="5"/>
      <c r="Q154" s="5"/>
      <c r="R154" s="5"/>
      <c r="S154" s="5"/>
      <c r="T154" s="5"/>
    </row>
    <row r="155" customFormat="false" ht="15" hidden="false" customHeight="true" outlineLevel="0" collapsed="false">
      <c r="A155" s="5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67" t="n">
        <f aca="false">((IF(I155="Sí",1,0))+(IF(J155="Sí",1,0))+(IF(OR(G155="Aprobado",G155="Programado",G155="Publicado"),1,0)))/3</f>
        <v>0</v>
      </c>
      <c r="O155" s="68" t="str">
        <f aca="false">REPT("█",ROUND(N155*10,0))&amp;REPT("░",10-ROUND(N155*10,0))</f>
        <v>░░░░░░░░░░</v>
      </c>
      <c r="P155" s="5"/>
      <c r="Q155" s="5"/>
      <c r="R155" s="5"/>
      <c r="S155" s="5"/>
      <c r="T155" s="5"/>
    </row>
    <row r="156" customFormat="false" ht="15" hidden="false" customHeight="true" outlineLevel="0" collapsed="false">
      <c r="A156" s="5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1" t="n">
        <f aca="false">((IF(I156="Sí",1,0))+(IF(J156="Sí",1,0))+(IF(OR(G156="Aprobado",G156="Programado",G156="Publicado"),1,0)))/3</f>
        <v>0</v>
      </c>
      <c r="O156" s="72" t="str">
        <f aca="false">REPT("█",ROUND(N156*10,0))&amp;REPT("░",10-ROUND(N156*10,0))</f>
        <v>░░░░░░░░░░</v>
      </c>
      <c r="P156" s="5"/>
      <c r="Q156" s="5"/>
      <c r="R156" s="5"/>
      <c r="S156" s="5"/>
      <c r="T156" s="5"/>
    </row>
    <row r="157" customFormat="false" ht="15" hidden="false" customHeight="true" outlineLevel="0" collapsed="false">
      <c r="A157" s="5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67" t="n">
        <f aca="false">((IF(I157="Sí",1,0))+(IF(J157="Sí",1,0))+(IF(OR(G157="Aprobado",G157="Programado",G157="Publicado"),1,0)))/3</f>
        <v>0</v>
      </c>
      <c r="O157" s="68" t="str">
        <f aca="false">REPT("█",ROUND(N157*10,0))&amp;REPT("░",10-ROUND(N157*10,0))</f>
        <v>░░░░░░░░░░</v>
      </c>
      <c r="P157" s="5"/>
      <c r="Q157" s="5"/>
      <c r="R157" s="5"/>
      <c r="S157" s="5"/>
      <c r="T157" s="5"/>
    </row>
    <row r="158" customFormat="false" ht="15" hidden="false" customHeight="true" outlineLevel="0" collapsed="false">
      <c r="A158" s="5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1" t="n">
        <f aca="false">((IF(I158="Sí",1,0))+(IF(J158="Sí",1,0))+(IF(OR(G158="Aprobado",G158="Programado",G158="Publicado"),1,0)))/3</f>
        <v>0</v>
      </c>
      <c r="O158" s="72" t="str">
        <f aca="false">REPT("█",ROUND(N158*10,0))&amp;REPT("░",10-ROUND(N158*10,0))</f>
        <v>░░░░░░░░░░</v>
      </c>
      <c r="P158" s="5"/>
      <c r="Q158" s="5"/>
      <c r="R158" s="5"/>
      <c r="S158" s="5"/>
      <c r="T158" s="5"/>
    </row>
    <row r="159" customFormat="false" ht="15" hidden="false" customHeight="true" outlineLevel="0" collapsed="false">
      <c r="A159" s="5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67" t="n">
        <f aca="false">((IF(I159="Sí",1,0))+(IF(J159="Sí",1,0))+(IF(OR(G159="Aprobado",G159="Programado",G159="Publicado"),1,0)))/3</f>
        <v>0</v>
      </c>
      <c r="O159" s="68" t="str">
        <f aca="false">REPT("█",ROUND(N159*10,0))&amp;REPT("░",10-ROUND(N159*10,0))</f>
        <v>░░░░░░░░░░</v>
      </c>
      <c r="P159" s="5"/>
      <c r="Q159" s="5"/>
      <c r="R159" s="5"/>
      <c r="S159" s="5"/>
      <c r="T159" s="5"/>
    </row>
    <row r="160" customFormat="false" ht="15" hidden="false" customHeight="true" outlineLevel="0" collapsed="false">
      <c r="A160" s="5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1" t="n">
        <f aca="false">((IF(I160="Sí",1,0))+(IF(J160="Sí",1,0))+(IF(OR(G160="Aprobado",G160="Programado",G160="Publicado"),1,0)))/3</f>
        <v>0</v>
      </c>
      <c r="O160" s="72" t="str">
        <f aca="false">REPT("█",ROUND(N160*10,0))&amp;REPT("░",10-ROUND(N160*10,0))</f>
        <v>░░░░░░░░░░</v>
      </c>
      <c r="P160" s="5"/>
      <c r="Q160" s="5"/>
      <c r="R160" s="5"/>
      <c r="S160" s="5"/>
      <c r="T160" s="5"/>
    </row>
    <row r="161" customFormat="false" ht="15" hidden="false" customHeight="true" outlineLevel="0" collapsed="false">
      <c r="A161" s="5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67" t="n">
        <f aca="false">((IF(I161="Sí",1,0))+(IF(J161="Sí",1,0))+(IF(OR(G161="Aprobado",G161="Programado",G161="Publicado"),1,0)))/3</f>
        <v>0</v>
      </c>
      <c r="O161" s="68" t="str">
        <f aca="false">REPT("█",ROUND(N161*10,0))&amp;REPT("░",10-ROUND(N161*10,0))</f>
        <v>░░░░░░░░░░</v>
      </c>
      <c r="P161" s="5"/>
      <c r="Q161" s="5"/>
      <c r="R161" s="5"/>
      <c r="S161" s="5"/>
      <c r="T161" s="5"/>
    </row>
    <row r="162" customFormat="false" ht="15" hidden="false" customHeight="true" outlineLevel="0" collapsed="false">
      <c r="A162" s="5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1" t="n">
        <f aca="false">((IF(I162="Sí",1,0))+(IF(J162="Sí",1,0))+(IF(OR(G162="Aprobado",G162="Programado",G162="Publicado"),1,0)))/3</f>
        <v>0</v>
      </c>
      <c r="O162" s="72" t="str">
        <f aca="false">REPT("█",ROUND(N162*10,0))&amp;REPT("░",10-ROUND(N162*10,0))</f>
        <v>░░░░░░░░░░</v>
      </c>
      <c r="P162" s="5"/>
      <c r="Q162" s="5"/>
      <c r="R162" s="5"/>
      <c r="S162" s="5"/>
      <c r="T162" s="5"/>
    </row>
    <row r="163" customFormat="false" ht="15" hidden="false" customHeight="true" outlineLevel="0" collapsed="false">
      <c r="A163" s="5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67" t="n">
        <f aca="false">((IF(I163="Sí",1,0))+(IF(J163="Sí",1,0))+(IF(OR(G163="Aprobado",G163="Programado",G163="Publicado"),1,0)))/3</f>
        <v>0</v>
      </c>
      <c r="O163" s="68" t="str">
        <f aca="false">REPT("█",ROUND(N163*10,0))&amp;REPT("░",10-ROUND(N163*10,0))</f>
        <v>░░░░░░░░░░</v>
      </c>
      <c r="P163" s="5"/>
      <c r="Q163" s="5"/>
      <c r="R163" s="5"/>
      <c r="S163" s="5"/>
      <c r="T163" s="5"/>
    </row>
    <row r="164" customFormat="false" ht="15" hidden="false" customHeight="true" outlineLevel="0" collapsed="false">
      <c r="A164" s="5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1" t="n">
        <f aca="false">((IF(I164="Sí",1,0))+(IF(J164="Sí",1,0))+(IF(OR(G164="Aprobado",G164="Programado",G164="Publicado"),1,0)))/3</f>
        <v>0</v>
      </c>
      <c r="O164" s="72" t="str">
        <f aca="false">REPT("█",ROUND(N164*10,0))&amp;REPT("░",10-ROUND(N164*10,0))</f>
        <v>░░░░░░░░░░</v>
      </c>
      <c r="P164" s="5"/>
      <c r="Q164" s="5"/>
      <c r="R164" s="5"/>
      <c r="S164" s="5"/>
      <c r="T164" s="5"/>
    </row>
    <row r="165" customFormat="false" ht="15" hidden="false" customHeight="true" outlineLevel="0" collapsed="false">
      <c r="A165" s="5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67" t="n">
        <f aca="false">((IF(I165="Sí",1,0))+(IF(J165="Sí",1,0))+(IF(OR(G165="Aprobado",G165="Programado",G165="Publicado"),1,0)))/3</f>
        <v>0</v>
      </c>
      <c r="O165" s="68" t="str">
        <f aca="false">REPT("█",ROUND(N165*10,0))&amp;REPT("░",10-ROUND(N165*10,0))</f>
        <v>░░░░░░░░░░</v>
      </c>
      <c r="P165" s="5"/>
      <c r="Q165" s="5"/>
      <c r="R165" s="5"/>
      <c r="S165" s="5"/>
      <c r="T165" s="5"/>
    </row>
    <row r="166" customFormat="false" ht="15" hidden="false" customHeight="true" outlineLevel="0" collapsed="false">
      <c r="A166" s="5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1" t="n">
        <f aca="false">((IF(I166="Sí",1,0))+(IF(J166="Sí",1,0))+(IF(OR(G166="Aprobado",G166="Programado",G166="Publicado"),1,0)))/3</f>
        <v>0</v>
      </c>
      <c r="O166" s="72" t="str">
        <f aca="false">REPT("█",ROUND(N166*10,0))&amp;REPT("░",10-ROUND(N166*10,0))</f>
        <v>░░░░░░░░░░</v>
      </c>
      <c r="P166" s="5"/>
      <c r="Q166" s="5"/>
      <c r="R166" s="5"/>
      <c r="S166" s="5"/>
      <c r="T166" s="5"/>
    </row>
    <row r="167" customFormat="false" ht="15" hidden="false" customHeight="true" outlineLevel="0" collapsed="false">
      <c r="A167" s="5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67" t="n">
        <f aca="false">((IF(I167="Sí",1,0))+(IF(J167="Sí",1,0))+(IF(OR(G167="Aprobado",G167="Programado",G167="Publicado"),1,0)))/3</f>
        <v>0</v>
      </c>
      <c r="O167" s="68" t="str">
        <f aca="false">REPT("█",ROUND(N167*10,0))&amp;REPT("░",10-ROUND(N167*10,0))</f>
        <v>░░░░░░░░░░</v>
      </c>
      <c r="P167" s="5"/>
      <c r="Q167" s="5"/>
      <c r="R167" s="5"/>
      <c r="S167" s="5"/>
      <c r="T167" s="5"/>
    </row>
    <row r="168" customFormat="false" ht="15" hidden="false" customHeight="true" outlineLevel="0" collapsed="false">
      <c r="A168" s="5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1" t="n">
        <f aca="false">((IF(I168="Sí",1,0))+(IF(J168="Sí",1,0))+(IF(OR(G168="Aprobado",G168="Programado",G168="Publicado"),1,0)))/3</f>
        <v>0</v>
      </c>
      <c r="O168" s="72" t="str">
        <f aca="false">REPT("█",ROUND(N168*10,0))&amp;REPT("░",10-ROUND(N168*10,0))</f>
        <v>░░░░░░░░░░</v>
      </c>
      <c r="P168" s="5"/>
      <c r="Q168" s="5"/>
      <c r="R168" s="5"/>
      <c r="S168" s="5"/>
      <c r="T168" s="5"/>
    </row>
    <row r="169" customFormat="false" ht="15" hidden="false" customHeight="true" outlineLevel="0" collapsed="false">
      <c r="A169" s="5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67" t="n">
        <f aca="false">((IF(I169="Sí",1,0))+(IF(J169="Sí",1,0))+(IF(OR(G169="Aprobado",G169="Programado",G169="Publicado"),1,0)))/3</f>
        <v>0</v>
      </c>
      <c r="O169" s="68" t="str">
        <f aca="false">REPT("█",ROUND(N169*10,0))&amp;REPT("░",10-ROUND(N169*10,0))</f>
        <v>░░░░░░░░░░</v>
      </c>
      <c r="P169" s="5"/>
      <c r="Q169" s="5"/>
      <c r="R169" s="5"/>
      <c r="S169" s="5"/>
      <c r="T169" s="5"/>
    </row>
    <row r="170" customFormat="false" ht="15" hidden="false" customHeight="true" outlineLevel="0" collapsed="false">
      <c r="A170" s="5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1" t="n">
        <f aca="false">((IF(I170="Sí",1,0))+(IF(J170="Sí",1,0))+(IF(OR(G170="Aprobado",G170="Programado",G170="Publicado"),1,0)))/3</f>
        <v>0</v>
      </c>
      <c r="O170" s="72" t="str">
        <f aca="false">REPT("█",ROUND(N170*10,0))&amp;REPT("░",10-ROUND(N170*10,0))</f>
        <v>░░░░░░░░░░</v>
      </c>
      <c r="P170" s="5"/>
      <c r="Q170" s="5"/>
      <c r="R170" s="5"/>
      <c r="S170" s="5"/>
      <c r="T170" s="5"/>
    </row>
    <row r="171" customFormat="false" ht="15" hidden="false" customHeight="true" outlineLevel="0" collapsed="false">
      <c r="A171" s="5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67" t="n">
        <f aca="false">((IF(I171="Sí",1,0))+(IF(J171="Sí",1,0))+(IF(OR(G171="Aprobado",G171="Programado",G171="Publicado"),1,0)))/3</f>
        <v>0</v>
      </c>
      <c r="O171" s="68" t="str">
        <f aca="false">REPT("█",ROUND(N171*10,0))&amp;REPT("░",10-ROUND(N171*10,0))</f>
        <v>░░░░░░░░░░</v>
      </c>
      <c r="P171" s="5"/>
      <c r="Q171" s="5"/>
      <c r="R171" s="5"/>
      <c r="S171" s="5"/>
      <c r="T171" s="5"/>
    </row>
    <row r="172" customFormat="false" ht="15" hidden="false" customHeight="true" outlineLevel="0" collapsed="false">
      <c r="A172" s="5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1" t="n">
        <f aca="false">((IF(I172="Sí",1,0))+(IF(J172="Sí",1,0))+(IF(OR(G172="Aprobado",G172="Programado",G172="Publicado"),1,0)))/3</f>
        <v>0</v>
      </c>
      <c r="O172" s="72" t="str">
        <f aca="false">REPT("█",ROUND(N172*10,0))&amp;REPT("░",10-ROUND(N172*10,0))</f>
        <v>░░░░░░░░░░</v>
      </c>
      <c r="P172" s="5"/>
      <c r="Q172" s="5"/>
      <c r="R172" s="5"/>
      <c r="S172" s="5"/>
      <c r="T172" s="5"/>
    </row>
    <row r="173" customFormat="false" ht="15" hidden="false" customHeight="true" outlineLevel="0" collapsed="false">
      <c r="A173" s="5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67" t="n">
        <f aca="false">((IF(I173="Sí",1,0))+(IF(J173="Sí",1,0))+(IF(OR(G173="Aprobado",G173="Programado",G173="Publicado"),1,0)))/3</f>
        <v>0</v>
      </c>
      <c r="O173" s="68" t="str">
        <f aca="false">REPT("█",ROUND(N173*10,0))&amp;REPT("░",10-ROUND(N173*10,0))</f>
        <v>░░░░░░░░░░</v>
      </c>
      <c r="P173" s="5"/>
      <c r="Q173" s="5"/>
      <c r="R173" s="5"/>
      <c r="S173" s="5"/>
      <c r="T173" s="5"/>
    </row>
    <row r="174" customFormat="false" ht="15" hidden="false" customHeight="true" outlineLevel="0" collapsed="false">
      <c r="A174" s="5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1" t="n">
        <f aca="false">((IF(I174="Sí",1,0))+(IF(J174="Sí",1,0))+(IF(OR(G174="Aprobado",G174="Programado",G174="Publicado"),1,0)))/3</f>
        <v>0</v>
      </c>
      <c r="O174" s="72" t="str">
        <f aca="false">REPT("█",ROUND(N174*10,0))&amp;REPT("░",10-ROUND(N174*10,0))</f>
        <v>░░░░░░░░░░</v>
      </c>
      <c r="P174" s="5"/>
      <c r="Q174" s="5"/>
      <c r="R174" s="5"/>
      <c r="S174" s="5"/>
      <c r="T174" s="5"/>
    </row>
    <row r="175" customFormat="false" ht="15" hidden="false" customHeight="true" outlineLevel="0" collapsed="false">
      <c r="A175" s="5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67" t="n">
        <f aca="false">((IF(I175="Sí",1,0))+(IF(J175="Sí",1,0))+(IF(OR(G175="Aprobado",G175="Programado",G175="Publicado"),1,0)))/3</f>
        <v>0</v>
      </c>
      <c r="O175" s="68" t="str">
        <f aca="false">REPT("█",ROUND(N175*10,0))&amp;REPT("░",10-ROUND(N175*10,0))</f>
        <v>░░░░░░░░░░</v>
      </c>
      <c r="P175" s="5"/>
      <c r="Q175" s="5"/>
      <c r="R175" s="5"/>
      <c r="S175" s="5"/>
      <c r="T175" s="5"/>
    </row>
    <row r="176" customFormat="false" ht="15" hidden="false" customHeight="true" outlineLevel="0" collapsed="false">
      <c r="A176" s="5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1" t="n">
        <f aca="false">((IF(I176="Sí",1,0))+(IF(J176="Sí",1,0))+(IF(OR(G176="Aprobado",G176="Programado",G176="Publicado"),1,0)))/3</f>
        <v>0</v>
      </c>
      <c r="O176" s="72" t="str">
        <f aca="false">REPT("█",ROUND(N176*10,0))&amp;REPT("░",10-ROUND(N176*10,0))</f>
        <v>░░░░░░░░░░</v>
      </c>
      <c r="P176" s="5"/>
      <c r="Q176" s="5"/>
      <c r="R176" s="5"/>
      <c r="S176" s="5"/>
      <c r="T176" s="5"/>
    </row>
    <row r="177" customFormat="false" ht="15" hidden="false" customHeight="true" outlineLevel="0" collapsed="false">
      <c r="A177" s="5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67" t="n">
        <f aca="false">((IF(I177="Sí",1,0))+(IF(J177="Sí",1,0))+(IF(OR(G177="Aprobado",G177="Programado",G177="Publicado"),1,0)))/3</f>
        <v>0</v>
      </c>
      <c r="O177" s="68" t="str">
        <f aca="false">REPT("█",ROUND(N177*10,0))&amp;REPT("░",10-ROUND(N177*10,0))</f>
        <v>░░░░░░░░░░</v>
      </c>
      <c r="P177" s="5"/>
      <c r="Q177" s="5"/>
      <c r="R177" s="5"/>
      <c r="S177" s="5"/>
      <c r="T177" s="5"/>
    </row>
    <row r="178" customFormat="false" ht="15" hidden="false" customHeight="true" outlineLevel="0" collapsed="false">
      <c r="A178" s="5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1" t="n">
        <f aca="false">((IF(I178="Sí",1,0))+(IF(J178="Sí",1,0))+(IF(OR(G178="Aprobado",G178="Programado",G178="Publicado"),1,0)))/3</f>
        <v>0</v>
      </c>
      <c r="O178" s="72" t="str">
        <f aca="false">REPT("█",ROUND(N178*10,0))&amp;REPT("░",10-ROUND(N178*10,0))</f>
        <v>░░░░░░░░░░</v>
      </c>
      <c r="P178" s="5"/>
      <c r="Q178" s="5"/>
      <c r="R178" s="5"/>
      <c r="S178" s="5"/>
      <c r="T178" s="5"/>
    </row>
    <row r="179" customFormat="false" ht="15" hidden="false" customHeight="true" outlineLevel="0" collapsed="false">
      <c r="A179" s="5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67" t="n">
        <f aca="false">((IF(I179="Sí",1,0))+(IF(J179="Sí",1,0))+(IF(OR(G179="Aprobado",G179="Programado",G179="Publicado"),1,0)))/3</f>
        <v>0</v>
      </c>
      <c r="O179" s="68" t="str">
        <f aca="false">REPT("█",ROUND(N179*10,0))&amp;REPT("░",10-ROUND(N179*10,0))</f>
        <v>░░░░░░░░░░</v>
      </c>
      <c r="P179" s="5"/>
      <c r="Q179" s="5"/>
      <c r="R179" s="5"/>
      <c r="S179" s="5"/>
      <c r="T179" s="5"/>
    </row>
    <row r="180" customFormat="false" ht="15" hidden="false" customHeight="true" outlineLevel="0" collapsed="false">
      <c r="A180" s="5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1" t="n">
        <f aca="false">((IF(I180="Sí",1,0))+(IF(J180="Sí",1,0))+(IF(OR(G180="Aprobado",G180="Programado",G180="Publicado"),1,0)))/3</f>
        <v>0</v>
      </c>
      <c r="O180" s="72" t="str">
        <f aca="false">REPT("█",ROUND(N180*10,0))&amp;REPT("░",10-ROUND(N180*10,0))</f>
        <v>░░░░░░░░░░</v>
      </c>
      <c r="P180" s="5"/>
      <c r="Q180" s="5"/>
      <c r="R180" s="5"/>
      <c r="S180" s="5"/>
      <c r="T180" s="5"/>
    </row>
    <row r="181" customFormat="false" ht="15" hidden="false" customHeight="true" outlineLevel="0" collapsed="false">
      <c r="A181" s="5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67" t="n">
        <f aca="false">((IF(I181="Sí",1,0))+(IF(J181="Sí",1,0))+(IF(OR(G181="Aprobado",G181="Programado",G181="Publicado"),1,0)))/3</f>
        <v>0</v>
      </c>
      <c r="O181" s="68" t="str">
        <f aca="false">REPT("█",ROUND(N181*10,0))&amp;REPT("░",10-ROUND(N181*10,0))</f>
        <v>░░░░░░░░░░</v>
      </c>
      <c r="P181" s="5"/>
      <c r="Q181" s="5"/>
      <c r="R181" s="5"/>
      <c r="S181" s="5"/>
      <c r="T181" s="5"/>
    </row>
    <row r="182" customFormat="false" ht="15" hidden="false" customHeight="true" outlineLevel="0" collapsed="false">
      <c r="A182" s="5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1" t="n">
        <f aca="false">((IF(I182="Sí",1,0))+(IF(J182="Sí",1,0))+(IF(OR(G182="Aprobado",G182="Programado",G182="Publicado"),1,0)))/3</f>
        <v>0</v>
      </c>
      <c r="O182" s="72" t="str">
        <f aca="false">REPT("█",ROUND(N182*10,0))&amp;REPT("░",10-ROUND(N182*10,0))</f>
        <v>░░░░░░░░░░</v>
      </c>
      <c r="P182" s="5"/>
      <c r="Q182" s="5"/>
      <c r="R182" s="5"/>
      <c r="S182" s="5"/>
      <c r="T182" s="5"/>
    </row>
    <row r="183" customFormat="false" ht="15" hidden="false" customHeight="true" outlineLevel="0" collapsed="false">
      <c r="A183" s="5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67" t="n">
        <f aca="false">((IF(I183="Sí",1,0))+(IF(J183="Sí",1,0))+(IF(OR(G183="Aprobado",G183="Programado",G183="Publicado"),1,0)))/3</f>
        <v>0</v>
      </c>
      <c r="O183" s="68" t="str">
        <f aca="false">REPT("█",ROUND(N183*10,0))&amp;REPT("░",10-ROUND(N183*10,0))</f>
        <v>░░░░░░░░░░</v>
      </c>
      <c r="P183" s="5"/>
      <c r="Q183" s="5"/>
      <c r="R183" s="5"/>
      <c r="S183" s="5"/>
      <c r="T183" s="5"/>
    </row>
    <row r="184" customFormat="false" ht="15" hidden="false" customHeight="true" outlineLevel="0" collapsed="false">
      <c r="A184" s="5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1" t="n">
        <f aca="false">((IF(I184="Sí",1,0))+(IF(J184="Sí",1,0))+(IF(OR(G184="Aprobado",G184="Programado",G184="Publicado"),1,0)))/3</f>
        <v>0</v>
      </c>
      <c r="O184" s="72" t="str">
        <f aca="false">REPT("█",ROUND(N184*10,0))&amp;REPT("░",10-ROUND(N184*10,0))</f>
        <v>░░░░░░░░░░</v>
      </c>
      <c r="P184" s="5"/>
      <c r="Q184" s="5"/>
      <c r="R184" s="5"/>
      <c r="S184" s="5"/>
      <c r="T184" s="5"/>
    </row>
    <row r="185" customFormat="false" ht="15" hidden="false" customHeight="true" outlineLevel="0" collapsed="false">
      <c r="A185" s="5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67" t="n">
        <f aca="false">((IF(I185="Sí",1,0))+(IF(J185="Sí",1,0))+(IF(OR(G185="Aprobado",G185="Programado",G185="Publicado"),1,0)))/3</f>
        <v>0</v>
      </c>
      <c r="O185" s="68" t="str">
        <f aca="false">REPT("█",ROUND(N185*10,0))&amp;REPT("░",10-ROUND(N185*10,0))</f>
        <v>░░░░░░░░░░</v>
      </c>
      <c r="P185" s="5"/>
      <c r="Q185" s="5"/>
      <c r="R185" s="5"/>
      <c r="S185" s="5"/>
      <c r="T185" s="5"/>
    </row>
    <row r="186" customFormat="false" ht="15" hidden="false" customHeight="true" outlineLevel="0" collapsed="false">
      <c r="A186" s="5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1" t="n">
        <f aca="false">((IF(I186="Sí",1,0))+(IF(J186="Sí",1,0))+(IF(OR(G186="Aprobado",G186="Programado",G186="Publicado"),1,0)))/3</f>
        <v>0</v>
      </c>
      <c r="O186" s="72" t="str">
        <f aca="false">REPT("█",ROUND(N186*10,0))&amp;REPT("░",10-ROUND(N186*10,0))</f>
        <v>░░░░░░░░░░</v>
      </c>
      <c r="P186" s="5"/>
      <c r="Q186" s="5"/>
      <c r="R186" s="5"/>
      <c r="S186" s="5"/>
      <c r="T186" s="5"/>
    </row>
    <row r="187" customFormat="false" ht="15" hidden="false" customHeight="true" outlineLevel="0" collapsed="false">
      <c r="A187" s="5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67" t="n">
        <f aca="false">((IF(I187="Sí",1,0))+(IF(J187="Sí",1,0))+(IF(OR(G187="Aprobado",G187="Programado",G187="Publicado"),1,0)))/3</f>
        <v>0</v>
      </c>
      <c r="O187" s="68" t="str">
        <f aca="false">REPT("█",ROUND(N187*10,0))&amp;REPT("░",10-ROUND(N187*10,0))</f>
        <v>░░░░░░░░░░</v>
      </c>
      <c r="P187" s="5"/>
      <c r="Q187" s="5"/>
      <c r="R187" s="5"/>
      <c r="S187" s="5"/>
      <c r="T187" s="5"/>
    </row>
    <row r="188" customFormat="false" ht="15" hidden="false" customHeight="true" outlineLevel="0" collapsed="false">
      <c r="A188" s="5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1" t="n">
        <f aca="false">((IF(I188="Sí",1,0))+(IF(J188="Sí",1,0))+(IF(OR(G188="Aprobado",G188="Programado",G188="Publicado"),1,0)))/3</f>
        <v>0</v>
      </c>
      <c r="O188" s="72" t="str">
        <f aca="false">REPT("█",ROUND(N188*10,0))&amp;REPT("░",10-ROUND(N188*10,0))</f>
        <v>░░░░░░░░░░</v>
      </c>
      <c r="P188" s="5"/>
      <c r="Q188" s="5"/>
      <c r="R188" s="5"/>
      <c r="S188" s="5"/>
      <c r="T188" s="5"/>
    </row>
    <row r="189" customFormat="false" ht="15" hidden="false" customHeight="true" outlineLevel="0" collapsed="false">
      <c r="A189" s="5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67" t="n">
        <f aca="false">((IF(I189="Sí",1,0))+(IF(J189="Sí",1,0))+(IF(OR(G189="Aprobado",G189="Programado",G189="Publicado"),1,0)))/3</f>
        <v>0</v>
      </c>
      <c r="O189" s="68" t="str">
        <f aca="false">REPT("█",ROUND(N189*10,0))&amp;REPT("░",10-ROUND(N189*10,0))</f>
        <v>░░░░░░░░░░</v>
      </c>
      <c r="P189" s="5"/>
      <c r="Q189" s="5"/>
      <c r="R189" s="5"/>
      <c r="S189" s="5"/>
      <c r="T189" s="5"/>
    </row>
    <row r="190" customFormat="false" ht="15" hidden="false" customHeight="true" outlineLevel="0" collapsed="false">
      <c r="A190" s="5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1" t="n">
        <f aca="false">((IF(I190="Sí",1,0))+(IF(J190="Sí",1,0))+(IF(OR(G190="Aprobado",G190="Programado",G190="Publicado"),1,0)))/3</f>
        <v>0</v>
      </c>
      <c r="O190" s="72" t="str">
        <f aca="false">REPT("█",ROUND(N190*10,0))&amp;REPT("░",10-ROUND(N190*10,0))</f>
        <v>░░░░░░░░░░</v>
      </c>
      <c r="P190" s="5"/>
      <c r="Q190" s="5"/>
      <c r="R190" s="5"/>
      <c r="S190" s="5"/>
      <c r="T190" s="5"/>
    </row>
    <row r="191" customFormat="false" ht="15" hidden="false" customHeight="true" outlineLevel="0" collapsed="false">
      <c r="A191" s="5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67" t="n">
        <f aca="false">((IF(I191="Sí",1,0))+(IF(J191="Sí",1,0))+(IF(OR(G191="Aprobado",G191="Programado",G191="Publicado"),1,0)))/3</f>
        <v>0</v>
      </c>
      <c r="O191" s="68" t="str">
        <f aca="false">REPT("█",ROUND(N191*10,0))&amp;REPT("░",10-ROUND(N191*10,0))</f>
        <v>░░░░░░░░░░</v>
      </c>
      <c r="P191" s="5"/>
      <c r="Q191" s="5"/>
      <c r="R191" s="5"/>
      <c r="S191" s="5"/>
      <c r="T191" s="5"/>
    </row>
    <row r="192" customFormat="false" ht="15" hidden="false" customHeight="true" outlineLevel="0" collapsed="false">
      <c r="A192" s="5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1" t="n">
        <f aca="false">((IF(I192="Sí",1,0))+(IF(J192="Sí",1,0))+(IF(OR(G192="Aprobado",G192="Programado",G192="Publicado"),1,0)))/3</f>
        <v>0</v>
      </c>
      <c r="O192" s="72" t="str">
        <f aca="false">REPT("█",ROUND(N192*10,0))&amp;REPT("░",10-ROUND(N192*10,0))</f>
        <v>░░░░░░░░░░</v>
      </c>
      <c r="P192" s="5"/>
      <c r="Q192" s="5"/>
      <c r="R192" s="5"/>
      <c r="S192" s="5"/>
      <c r="T192" s="5"/>
    </row>
    <row r="193" customFormat="false" ht="15" hidden="false" customHeight="true" outlineLevel="0" collapsed="false">
      <c r="A193" s="5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67" t="n">
        <f aca="false">((IF(I193="Sí",1,0))+(IF(J193="Sí",1,0))+(IF(OR(G193="Aprobado",G193="Programado",G193="Publicado"),1,0)))/3</f>
        <v>0</v>
      </c>
      <c r="O193" s="68" t="str">
        <f aca="false">REPT("█",ROUND(N193*10,0))&amp;REPT("░",10-ROUND(N193*10,0))</f>
        <v>░░░░░░░░░░</v>
      </c>
      <c r="P193" s="5"/>
      <c r="Q193" s="5"/>
      <c r="R193" s="5"/>
      <c r="S193" s="5"/>
      <c r="T193" s="5"/>
    </row>
    <row r="194" customFormat="false" ht="15" hidden="false" customHeight="true" outlineLevel="0" collapsed="false">
      <c r="A194" s="5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1" t="n">
        <f aca="false">((IF(I194="Sí",1,0))+(IF(J194="Sí",1,0))+(IF(OR(G194="Aprobado",G194="Programado",G194="Publicado"),1,0)))/3</f>
        <v>0</v>
      </c>
      <c r="O194" s="72" t="str">
        <f aca="false">REPT("█",ROUND(N194*10,0))&amp;REPT("░",10-ROUND(N194*10,0))</f>
        <v>░░░░░░░░░░</v>
      </c>
      <c r="P194" s="5"/>
      <c r="Q194" s="5"/>
      <c r="R194" s="5"/>
      <c r="S194" s="5"/>
      <c r="T194" s="5"/>
    </row>
    <row r="195" customFormat="false" ht="15" hidden="false" customHeight="true" outlineLevel="0" collapsed="false">
      <c r="A195" s="5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67" t="n">
        <f aca="false">((IF(I195="Sí",1,0))+(IF(J195="Sí",1,0))+(IF(OR(G195="Aprobado",G195="Programado",G195="Publicado"),1,0)))/3</f>
        <v>0</v>
      </c>
      <c r="O195" s="68" t="str">
        <f aca="false">REPT("█",ROUND(N195*10,0))&amp;REPT("░",10-ROUND(N195*10,0))</f>
        <v>░░░░░░░░░░</v>
      </c>
      <c r="P195" s="5"/>
      <c r="Q195" s="5"/>
      <c r="R195" s="5"/>
      <c r="S195" s="5"/>
      <c r="T195" s="5"/>
    </row>
    <row r="196" customFormat="false" ht="15" hidden="false" customHeight="true" outlineLevel="0" collapsed="false">
      <c r="A196" s="5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1" t="n">
        <f aca="false">((IF(I196="Sí",1,0))+(IF(J196="Sí",1,0))+(IF(OR(G196="Aprobado",G196="Programado",G196="Publicado"),1,0)))/3</f>
        <v>0</v>
      </c>
      <c r="O196" s="72" t="str">
        <f aca="false">REPT("█",ROUND(N196*10,0))&amp;REPT("░",10-ROUND(N196*10,0))</f>
        <v>░░░░░░░░░░</v>
      </c>
      <c r="P196" s="5"/>
      <c r="Q196" s="5"/>
      <c r="R196" s="5"/>
      <c r="S196" s="5"/>
      <c r="T196" s="5"/>
    </row>
    <row r="197" customFormat="false" ht="15" hidden="false" customHeight="true" outlineLevel="0" collapsed="false">
      <c r="A197" s="5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67" t="n">
        <f aca="false">((IF(I197="Sí",1,0))+(IF(J197="Sí",1,0))+(IF(OR(G197="Aprobado",G197="Programado",G197="Publicado"),1,0)))/3</f>
        <v>0</v>
      </c>
      <c r="O197" s="68" t="str">
        <f aca="false">REPT("█",ROUND(N197*10,0))&amp;REPT("░",10-ROUND(N197*10,0))</f>
        <v>░░░░░░░░░░</v>
      </c>
      <c r="P197" s="5"/>
      <c r="Q197" s="5"/>
      <c r="R197" s="5"/>
      <c r="S197" s="5"/>
      <c r="T197" s="5"/>
    </row>
    <row r="198" customFormat="false" ht="15" hidden="false" customHeight="true" outlineLevel="0" collapsed="false">
      <c r="A198" s="5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1" t="n">
        <f aca="false">((IF(I198="Sí",1,0))+(IF(J198="Sí",1,0))+(IF(OR(G198="Aprobado",G198="Programado",G198="Publicado"),1,0)))/3</f>
        <v>0</v>
      </c>
      <c r="O198" s="72" t="str">
        <f aca="false">REPT("█",ROUND(N198*10,0))&amp;REPT("░",10-ROUND(N198*10,0))</f>
        <v>░░░░░░░░░░</v>
      </c>
      <c r="P198" s="5"/>
      <c r="Q198" s="5"/>
      <c r="R198" s="5"/>
      <c r="S198" s="5"/>
      <c r="T198" s="5"/>
    </row>
    <row r="199" customFormat="false" ht="15" hidden="false" customHeight="true" outlineLevel="0" collapsed="false">
      <c r="A199" s="5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67" t="n">
        <f aca="false">((IF(I199="Sí",1,0))+(IF(J199="Sí",1,0))+(IF(OR(G199="Aprobado",G199="Programado",G199="Publicado"),1,0)))/3</f>
        <v>0</v>
      </c>
      <c r="O199" s="68" t="str">
        <f aca="false">REPT("█",ROUND(N199*10,0))&amp;REPT("░",10-ROUND(N199*10,0))</f>
        <v>░░░░░░░░░░</v>
      </c>
      <c r="P199" s="5"/>
      <c r="Q199" s="5"/>
      <c r="R199" s="5"/>
      <c r="S199" s="5"/>
      <c r="T199" s="5"/>
    </row>
    <row r="200" customFormat="false" ht="15" hidden="false" customHeight="true" outlineLevel="0" collapsed="false">
      <c r="A200" s="5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1" t="n">
        <f aca="false">((IF(I200="Sí",1,0))+(IF(J200="Sí",1,0))+(IF(OR(G200="Aprobado",G200="Programado",G200="Publicado"),1,0)))/3</f>
        <v>0</v>
      </c>
      <c r="O200" s="72" t="str">
        <f aca="false">REPT("█",ROUND(N200*10,0))&amp;REPT("░",10-ROUND(N200*10,0))</f>
        <v>░░░░░░░░░░</v>
      </c>
      <c r="P200" s="5"/>
      <c r="Q200" s="5"/>
      <c r="R200" s="5"/>
      <c r="S200" s="5"/>
      <c r="T200" s="5"/>
    </row>
    <row r="201" customFormat="false" ht="15" hidden="false" customHeight="true" outlineLevel="0" collapsed="false">
      <c r="A201" s="5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67" t="n">
        <f aca="false">((IF(I201="Sí",1,0))+(IF(J201="Sí",1,0))+(IF(OR(G201="Aprobado",G201="Programado",G201="Publicado"),1,0)))/3</f>
        <v>0</v>
      </c>
      <c r="O201" s="68" t="str">
        <f aca="false">REPT("█",ROUND(N201*10,0))&amp;REPT("░",10-ROUND(N201*10,0))</f>
        <v>░░░░░░░░░░</v>
      </c>
      <c r="P201" s="5"/>
      <c r="Q201" s="5"/>
      <c r="R201" s="5"/>
      <c r="S201" s="5"/>
      <c r="T201" s="5"/>
    </row>
    <row r="202" customFormat="false" ht="15" hidden="false" customHeight="true" outlineLevel="0" collapsed="false">
      <c r="A202" s="5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1" t="n">
        <f aca="false">((IF(I202="Sí",1,0))+(IF(J202="Sí",1,0))+(IF(OR(G202="Aprobado",G202="Programado",G202="Publicado"),1,0)))/3</f>
        <v>0</v>
      </c>
      <c r="O202" s="72" t="str">
        <f aca="false">REPT("█",ROUND(N202*10,0))&amp;REPT("░",10-ROUND(N202*10,0))</f>
        <v>░░░░░░░░░░</v>
      </c>
      <c r="P202" s="5"/>
      <c r="Q202" s="5"/>
      <c r="R202" s="5"/>
      <c r="S202" s="5"/>
      <c r="T202" s="5"/>
    </row>
    <row r="203" customFormat="false" ht="15" hidden="false" customHeight="true" outlineLevel="0" collapsed="false">
      <c r="A203" s="5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67" t="n">
        <f aca="false">((IF(I203="Sí",1,0))+(IF(J203="Sí",1,0))+(IF(OR(G203="Aprobado",G203="Programado",G203="Publicado"),1,0)))/3</f>
        <v>0</v>
      </c>
      <c r="O203" s="68" t="str">
        <f aca="false">REPT("█",ROUND(N203*10,0))&amp;REPT("░",10-ROUND(N203*10,0))</f>
        <v>░░░░░░░░░░</v>
      </c>
      <c r="P203" s="5"/>
      <c r="Q203" s="5"/>
      <c r="R203" s="5"/>
      <c r="S203" s="5"/>
      <c r="T203" s="5"/>
    </row>
    <row r="204" customFormat="false" ht="15" hidden="false" customHeight="true" outlineLevel="0" collapsed="false">
      <c r="A204" s="5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1" t="n">
        <f aca="false">((IF(I204="Sí",1,0))+(IF(J204="Sí",1,0))+(IF(OR(G204="Aprobado",G204="Programado",G204="Publicado"),1,0)))/3</f>
        <v>0</v>
      </c>
      <c r="O204" s="72" t="str">
        <f aca="false">REPT("█",ROUND(N204*10,0))&amp;REPT("░",10-ROUND(N204*10,0))</f>
        <v>░░░░░░░░░░</v>
      </c>
      <c r="P204" s="5"/>
      <c r="Q204" s="5"/>
      <c r="R204" s="5"/>
      <c r="S204" s="5"/>
      <c r="T204" s="5"/>
    </row>
    <row r="205" customFormat="false" ht="15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 customFormat="false" ht="1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 customFormat="false" ht="1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 customFormat="false" ht="1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 customFormat="false" ht="15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 customFormat="false" ht="1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 customFormat="false" ht="15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customFormat="false" ht="15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 customFormat="false" ht="15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 customFormat="false" ht="15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 customFormat="false" ht="15" hidden="false" customHeight="tru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 customFormat="false" ht="15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 customFormat="false" ht="15" hidden="false" customHeight="tru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 customFormat="false" ht="15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 customFormat="false" ht="15" hidden="false" customHeight="tru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 customFormat="false" ht="15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 customFormat="false" ht="15" hidden="false" customHeight="tru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 customFormat="false" ht="15" hidden="false" customHeight="tru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 customFormat="false" ht="15" hidden="false" customHeight="tru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 customFormat="false" ht="15" hidden="false" customHeight="tru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 customFormat="false" ht="15" hidden="false" customHeight="tru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 customFormat="false" ht="15" hidden="false" customHeight="tru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 customFormat="false" ht="15" hidden="false" customHeight="tru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 customFormat="false" ht="15" hidden="false" customHeight="tru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 customFormat="false" ht="15" hidden="false" customHeight="tru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 customFormat="false" ht="15" hidden="false" customHeight="tru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 customFormat="false" ht="15" hidden="false" customHeight="tru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 customFormat="false" ht="15" hidden="false" customHeight="tru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 customFormat="false" ht="15" hidden="false" customHeight="tru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 customFormat="false" ht="15" hidden="false" customHeight="tru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 customFormat="false" ht="15" hidden="false" customHeight="tru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 customFormat="false" ht="15" hidden="false" customHeight="tru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 customFormat="false" ht="15" hidden="false" customHeight="tru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 customFormat="false" ht="15" hidden="false" customHeight="tru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 customFormat="false" ht="15" hidden="false" customHeight="tru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 customFormat="false" ht="15" hidden="false" customHeight="tru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 customFormat="false" ht="15" hidden="false" customHeight="tru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 customFormat="false" ht="15" hidden="false" customHeight="tru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 customFormat="false" ht="15" hidden="false" customHeight="tru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 customFormat="false" ht="15" hidden="false" customHeight="tru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 customFormat="false" ht="15" hidden="false" customHeight="tru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 customFormat="false" ht="15" hidden="false" customHeight="tru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 customFormat="false" ht="15" hidden="false" customHeight="tru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 customFormat="false" ht="15" hidden="false" customHeight="tru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 customFormat="false" ht="15" hidden="false" customHeight="tru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 customFormat="false" ht="15" hidden="false" customHeight="tru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 customFormat="false" ht="15" hidden="false" customHeight="tru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 customFormat="false" ht="15" hidden="false" customHeight="tru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 customFormat="false" ht="15" hidden="false" customHeight="tru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 customFormat="false" ht="15" hidden="false" customHeight="tru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 customFormat="false" ht="15" hidden="false" customHeight="tru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 customFormat="false" ht="15" hidden="false" customHeight="tru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 customFormat="false" ht="15" hidden="false" customHeight="tru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 customFormat="false" ht="15" hidden="false" customHeight="tru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 customFormat="false" ht="15" hidden="false" customHeight="tru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 customFormat="false" ht="15" hidden="false" customHeight="tru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 customFormat="false" ht="15" hidden="false" customHeight="tru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 customFormat="false" ht="15" hidden="false" customHeight="tru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 customFormat="false" ht="15" hidden="false" customHeight="tru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 customFormat="false" ht="15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 customFormat="false" ht="15" hidden="false" customHeight="tru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 customFormat="false" ht="15" hidden="false" customHeight="tru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 customFormat="false" ht="15" hidden="false" customHeight="tru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 customFormat="false" ht="15" hidden="false" customHeight="tru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 customFormat="false" ht="15" hidden="false" customHeight="tru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 customFormat="false" ht="15" hidden="false" customHeight="tru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 customFormat="false" ht="15" hidden="false" customHeight="tru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 customFormat="false" ht="15" hidden="false" customHeight="tru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 customFormat="false" ht="15" hidden="false" customHeight="tru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 customFormat="false" ht="15" hidden="false" customHeight="tru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 customFormat="false" ht="15" hidden="false" customHeight="tru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 customFormat="false" ht="15" hidden="false" customHeight="tru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 customFormat="false" ht="15" hidden="false" customHeight="tru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 customFormat="false" ht="15" hidden="false" customHeight="tru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 customFormat="false" ht="15" hidden="false" customHeight="tru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 customFormat="false" ht="15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 customFormat="false" ht="15" hidden="false" customHeight="tru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 customFormat="false" ht="15" hidden="false" customHeight="tru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 customFormat="false" ht="15" hidden="false" customHeight="tru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 customFormat="false" ht="15" hidden="false" customHeight="tru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 customFormat="false" ht="15" hidden="false" customHeight="tru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 customFormat="false" ht="15" hidden="false" customHeight="tru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 customFormat="false" ht="15" hidden="false" customHeight="tru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 customFormat="false" ht="15" hidden="false" customHeight="tru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 customFormat="false" ht="15" hidden="false" customHeight="tru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 customFormat="false" ht="15" hidden="false" customHeight="tru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 customFormat="false" ht="15" hidden="false" customHeight="tru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 customFormat="false" ht="15" hidden="false" customHeight="tru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 customFormat="false" ht="15" hidden="false" customHeight="tru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 customFormat="false" ht="15" hidden="false" customHeight="tru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 customFormat="false" ht="15" hidden="false" customHeight="tru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 customFormat="false" ht="15" hidden="false" customHeight="tru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 customFormat="false" ht="15" hidden="false" customHeight="tru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 customFormat="false" ht="15" hidden="false" customHeight="tru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 customFormat="false" ht="15" hidden="false" customHeight="tru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 customFormat="false" ht="15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</sheetData>
  <mergeCells count="1">
    <mergeCell ref="B2:M2"/>
  </mergeCells>
  <conditionalFormatting sqref="N5:N204">
    <cfRule type="colorScale" priority="2">
      <colorScale>
        <cfvo type="num" val="0"/>
        <cfvo type="num" val="0.5"/>
        <cfvo type="num" val="1"/>
        <color rgb="FFEF4444"/>
        <color rgb="FFF59E0B"/>
        <color rgb="FF10B981"/>
      </colorScale>
    </cfRule>
  </conditionalFormatting>
  <dataValidations count="4">
    <dataValidation allowBlank="true" errorStyle="stop" operator="between" showDropDown="false" showErrorMessage="false" showInputMessage="false" sqref="E5:E11" type="list">
      <formula1>"Instagram,Facebook,TikTok,YouTube,LinkedIn,Twitter/X,Google Ads,Pinterest"</formula1>
      <formula2>0</formula2>
    </dataValidation>
    <dataValidation allowBlank="true" errorStyle="stop" operator="between" showDropDown="false" showErrorMessage="false" showInputMessage="false" sqref="F5:F11" type="list">
      <formula1>"Reels,Carrusel,Story,Post,Video YT,Short,Live,Ads"</formula1>
      <formula2>0</formula2>
    </dataValidation>
    <dataValidation allowBlank="true" errorStyle="stop" operator="between" showDropDown="false" showErrorMessage="false" showInputMessage="false" sqref="G5:G11" type="list">
      <formula1>"Idea,En producción,En revisión,Aprobado,Programado,Publicado,Cancelado"</formula1>
      <formula2>0</formula2>
    </dataValidation>
    <dataValidation allowBlank="true" errorStyle="stop" operator="between" showDropDown="false" showErrorMessage="false" showInputMessage="false" sqref="I5:I11" type="list">
      <formula1>"Sí,No,En revisión"</formula1>
      <formula2>0</formula2>
    </dataValidation>
  </dataValidations>
  <hyperlinks>
    <hyperlink ref="B1" r:id="rId1" location="📊%20Dashboard!A1" display="📊 Dashboard"/>
    <hyperlink ref="F1" r:id="rId2" location="💰%20Finanzas!A1" display="💰 Finanzas"/>
    <hyperlink ref="H1" r:id="rId3" location="🤝%20CRM!A1" display="🤝 CRM"/>
    <hyperlink ref="J1" r:id="rId4" location="🏢%20Clientes!A1" display="🏢 Clientes"/>
    <hyperlink ref="L1" r:id="rId5" location="📈%20Métricas!A1" display="📈 Métrica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T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14" min="3" style="1" width="16"/>
  </cols>
  <sheetData>
    <row r="1" customFormat="false" ht="21.75" hidden="false" customHeight="true" outlineLevel="0" collapsed="false">
      <c r="A1" s="2"/>
      <c r="B1" s="4" t="s">
        <v>0</v>
      </c>
      <c r="C1" s="2"/>
      <c r="D1" s="4" t="s">
        <v>1</v>
      </c>
      <c r="E1" s="2"/>
      <c r="F1" s="3" t="s">
        <v>2</v>
      </c>
      <c r="G1" s="2"/>
      <c r="H1" s="4" t="s">
        <v>3</v>
      </c>
      <c r="I1" s="2"/>
      <c r="J1" s="4" t="s">
        <v>4</v>
      </c>
      <c r="K1" s="2"/>
      <c r="L1" s="4" t="s">
        <v>5</v>
      </c>
      <c r="M1" s="2"/>
      <c r="N1" s="2"/>
      <c r="O1" s="2"/>
      <c r="P1" s="5"/>
      <c r="Q1" s="5"/>
      <c r="R1" s="5"/>
      <c r="S1" s="5"/>
      <c r="T1" s="5"/>
    </row>
    <row r="2" customFormat="false" ht="19.5" hidden="false" customHeight="true" outlineLevel="0" collapsed="false">
      <c r="A2" s="6"/>
      <c r="B2" s="64" t="s">
        <v>103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5"/>
      <c r="P2" s="5"/>
      <c r="Q2" s="5"/>
      <c r="R2" s="5"/>
      <c r="S2" s="5"/>
      <c r="T2" s="5"/>
    </row>
    <row r="3" customFormat="false" ht="1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5"/>
      <c r="P3" s="5"/>
      <c r="Q3" s="5"/>
      <c r="R3" s="5"/>
      <c r="S3" s="5"/>
      <c r="T3" s="5"/>
    </row>
    <row r="4" customFormat="false" ht="15.75" hidden="false" customHeight="true" outlineLevel="0" collapsed="false">
      <c r="A4" s="5"/>
      <c r="B4" s="21" t="s">
        <v>104</v>
      </c>
      <c r="C4" s="21"/>
      <c r="D4" s="21"/>
      <c r="E4" s="21"/>
      <c r="F4" s="21"/>
      <c r="G4" s="21"/>
      <c r="H4" s="21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customFormat="false" ht="15" hidden="false" customHeight="true" outlineLevel="0" collapsed="false">
      <c r="A5" s="5"/>
      <c r="B5" s="78" t="s">
        <v>36</v>
      </c>
      <c r="C5" s="22" t="s">
        <v>105</v>
      </c>
      <c r="D5" s="22" t="s">
        <v>106</v>
      </c>
      <c r="E5" s="22" t="s">
        <v>107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15" hidden="false" customHeight="true" outlineLevel="0" collapsed="false">
      <c r="A6" s="5"/>
      <c r="B6" s="23" t="s">
        <v>108</v>
      </c>
      <c r="C6" s="79" t="n">
        <f aca="false">SUM(D35:D39)</f>
        <v>71000</v>
      </c>
      <c r="D6" s="80" t="n">
        <v>120000</v>
      </c>
      <c r="E6" s="81" t="n">
        <f aca="false">C6-D6</f>
        <v>-49000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15" hidden="false" customHeight="true" outlineLevel="0" collapsed="false">
      <c r="A7" s="5"/>
      <c r="B7" s="27" t="s">
        <v>109</v>
      </c>
      <c r="C7" s="62" t="n">
        <f aca="false">SUM(E35:E39)</f>
        <v>21000</v>
      </c>
      <c r="D7" s="82" t="n">
        <v>60000</v>
      </c>
      <c r="E7" s="83" t="n">
        <f aca="false">C7-D7</f>
        <v>-39000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customFormat="false" ht="15" hidden="false" customHeight="true" outlineLevel="0" collapsed="false">
      <c r="A8" s="5"/>
      <c r="B8" s="23" t="s">
        <v>110</v>
      </c>
      <c r="C8" s="84" t="n">
        <f aca="false">C6-C7</f>
        <v>50000</v>
      </c>
      <c r="D8" s="80" t="n">
        <v>60000</v>
      </c>
      <c r="E8" s="81" t="n">
        <f aca="false">C8-D8</f>
        <v>-10000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customFormat="false" ht="15" hidden="false" customHeight="true" outlineLevel="0" collapsed="false">
      <c r="A9" s="5"/>
      <c r="B9" s="27" t="s">
        <v>42</v>
      </c>
      <c r="C9" s="85" t="n">
        <f aca="false">IF(C6&gt;0,(C6-C7)/C6,0)</f>
        <v>0.704225352112676</v>
      </c>
      <c r="D9" s="86" t="n">
        <v>0.5</v>
      </c>
      <c r="E9" s="87" t="n">
        <f aca="false">C9-D9</f>
        <v>0.204225352112676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customFormat="false" ht="15" hidden="false" customHeight="true" outlineLevel="0" collapsed="false">
      <c r="A10" s="5"/>
      <c r="B10" s="23" t="s">
        <v>111</v>
      </c>
      <c r="C10" s="84" t="n">
        <f aca="false">SUM(F35:F39)</f>
        <v>32000</v>
      </c>
      <c r="D10" s="80" t="n">
        <v>30000</v>
      </c>
      <c r="E10" s="81" t="n">
        <f aca="false">C10-D10</f>
        <v>2000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customFormat="false" ht="15" hidden="false" customHeight="true" outlineLevel="0" collapsed="false">
      <c r="A11" s="5"/>
      <c r="B11" s="27" t="s">
        <v>112</v>
      </c>
      <c r="C11" s="62" t="n">
        <f aca="false">SUM(G35:G39)</f>
        <v>109000</v>
      </c>
      <c r="D11" s="82" t="n">
        <v>90000</v>
      </c>
      <c r="E11" s="83" t="n">
        <f aca="false">C11-D11</f>
        <v>19000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customFormat="false" ht="15" hidden="false" customHeight="true" outlineLevel="0" collapsed="false">
      <c r="A12" s="5"/>
      <c r="B12" s="23" t="s">
        <v>113</v>
      </c>
      <c r="C12" s="88" t="n">
        <f aca="false">IF(C10&gt;0,C11/C10,0)</f>
        <v>3.40625</v>
      </c>
      <c r="D12" s="89" t="n">
        <v>3</v>
      </c>
      <c r="E12" s="90" t="n">
        <f aca="false">C12-D12</f>
        <v>0.40625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customFormat="false" ht="15" hidden="false" customHeight="true" outlineLevel="0" collapsed="false">
      <c r="A13" s="5"/>
      <c r="B13" s="27" t="s">
        <v>114</v>
      </c>
      <c r="C13" s="91" t="n">
        <f aca="false">IF(SUM(H35:H39)&gt;0,C10/SUM(H35:H39),0)</f>
        <v>91.4285714285714</v>
      </c>
      <c r="D13" s="82" t="n">
        <v>80</v>
      </c>
      <c r="E13" s="83" t="n">
        <f aca="false">C13-D13</f>
        <v>11.4285714285714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customFormat="false" ht="15" hidden="false" customHeight="true" outlineLevel="0" collapsed="false">
      <c r="A14" s="5"/>
      <c r="B14" s="23" t="s">
        <v>115</v>
      </c>
      <c r="C14" s="92" t="n">
        <f aca="false">IF(C10&gt;0,(C11-C10)/C10,0)</f>
        <v>2.40625</v>
      </c>
      <c r="D14" s="93" t="n">
        <v>1</v>
      </c>
      <c r="E14" s="94" t="n">
        <f aca="false">C14-D14</f>
        <v>1.40625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customFormat="false" ht="1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customFormat="false" ht="1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customFormat="false" ht="15.75" hidden="false" customHeight="true" outlineLevel="0" collapsed="false">
      <c r="A17" s="5"/>
      <c r="B17" s="21" t="s">
        <v>116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5"/>
      <c r="P17" s="5"/>
      <c r="Q17" s="5"/>
      <c r="R17" s="5"/>
      <c r="S17" s="5"/>
      <c r="T17" s="5"/>
    </row>
    <row r="18" customFormat="false" ht="15" hidden="false" customHeight="true" outlineLevel="0" collapsed="false">
      <c r="A18" s="5"/>
      <c r="B18" s="22" t="s">
        <v>117</v>
      </c>
      <c r="C18" s="22" t="s">
        <v>118</v>
      </c>
      <c r="D18" s="22" t="s">
        <v>46</v>
      </c>
      <c r="E18" s="22" t="s">
        <v>119</v>
      </c>
      <c r="F18" s="22" t="s">
        <v>120</v>
      </c>
      <c r="G18" s="22" t="s">
        <v>42</v>
      </c>
      <c r="H18" s="22" t="s">
        <v>121</v>
      </c>
      <c r="I18" s="22" t="s">
        <v>122</v>
      </c>
      <c r="J18" s="22" t="s">
        <v>21</v>
      </c>
      <c r="K18" s="22" t="s">
        <v>123</v>
      </c>
      <c r="L18" s="22" t="s">
        <v>124</v>
      </c>
      <c r="M18" s="22" t="s">
        <v>115</v>
      </c>
      <c r="N18" s="5"/>
      <c r="O18" s="5"/>
      <c r="P18" s="5"/>
      <c r="Q18" s="5"/>
      <c r="R18" s="5"/>
      <c r="S18" s="5"/>
      <c r="T18" s="5"/>
    </row>
    <row r="19" customFormat="false" ht="15" hidden="false" customHeight="true" outlineLevel="0" collapsed="false">
      <c r="A19" s="5"/>
      <c r="B19" s="33" t="s">
        <v>125</v>
      </c>
      <c r="C19" s="95" t="n">
        <v>8</v>
      </c>
      <c r="D19" s="96" t="n">
        <v>95000</v>
      </c>
      <c r="E19" s="96" t="n">
        <v>48000</v>
      </c>
      <c r="F19" s="96" t="n">
        <f aca="false">D19-E19</f>
        <v>47000</v>
      </c>
      <c r="G19" s="94" t="n">
        <f aca="false">IF(D19&gt;0,(D19-E19)/D19,0)</f>
        <v>0.494736842105263</v>
      </c>
      <c r="H19" s="96" t="n">
        <v>22000</v>
      </c>
      <c r="I19" s="96" t="n">
        <v>68000</v>
      </c>
      <c r="J19" s="90" t="n">
        <f aca="false">IF(H19&gt;0,I19/H19,0)</f>
        <v>3.09090909090909</v>
      </c>
      <c r="K19" s="96" t="n">
        <f aca="false">IF(J19&gt;0,H19/J19,0)</f>
        <v>7117.64705882353</v>
      </c>
      <c r="L19" s="95" t="n">
        <v>280</v>
      </c>
      <c r="M19" s="94" t="n">
        <f aca="false">IF(E19&gt;0,(D19-E19)/E19,0)</f>
        <v>0.979166666666667</v>
      </c>
      <c r="N19" s="5"/>
      <c r="O19" s="5"/>
      <c r="P19" s="5"/>
      <c r="Q19" s="5"/>
      <c r="R19" s="5"/>
      <c r="S19" s="5"/>
      <c r="T19" s="5"/>
    </row>
    <row r="20" customFormat="false" ht="15" hidden="false" customHeight="true" outlineLevel="0" collapsed="false">
      <c r="A20" s="5"/>
      <c r="B20" s="39" t="s">
        <v>126</v>
      </c>
      <c r="C20" s="97" t="n">
        <v>8</v>
      </c>
      <c r="D20" s="98" t="n">
        <v>98000</v>
      </c>
      <c r="E20" s="98" t="n">
        <v>49000</v>
      </c>
      <c r="F20" s="98" t="n">
        <f aca="false">D20-E20</f>
        <v>49000</v>
      </c>
      <c r="G20" s="87" t="n">
        <f aca="false">IF(D20&gt;0,(D20-E20)/D20,0)</f>
        <v>0.5</v>
      </c>
      <c r="H20" s="98" t="n">
        <v>23000</v>
      </c>
      <c r="I20" s="98" t="n">
        <v>72000</v>
      </c>
      <c r="J20" s="99" t="n">
        <f aca="false">IF(H20&gt;0,I20/H20,0)</f>
        <v>3.1304347826087</v>
      </c>
      <c r="K20" s="98" t="n">
        <f aca="false">IF(J20&gt;0,H20/J20,0)</f>
        <v>7347.22222222222</v>
      </c>
      <c r="L20" s="97" t="n">
        <v>295</v>
      </c>
      <c r="M20" s="87" t="n">
        <f aca="false">IF(E20&gt;0,(D20-E20)/E20,0)</f>
        <v>1</v>
      </c>
      <c r="N20" s="5"/>
      <c r="O20" s="5"/>
      <c r="P20" s="5"/>
      <c r="Q20" s="5"/>
      <c r="R20" s="5"/>
      <c r="S20" s="5"/>
      <c r="T20" s="5"/>
    </row>
    <row r="21" customFormat="false" ht="15" hidden="false" customHeight="true" outlineLevel="0" collapsed="false">
      <c r="A21" s="5"/>
      <c r="B21" s="33" t="s">
        <v>127</v>
      </c>
      <c r="C21" s="95" t="n">
        <v>9</v>
      </c>
      <c r="D21" s="96" t="n">
        <v>110000</v>
      </c>
      <c r="E21" s="96" t="n">
        <v>52000</v>
      </c>
      <c r="F21" s="96" t="n">
        <f aca="false">D21-E21</f>
        <v>58000</v>
      </c>
      <c r="G21" s="94" t="n">
        <f aca="false">IF(D21&gt;0,(D21-E21)/D21,0)</f>
        <v>0.527272727272727</v>
      </c>
      <c r="H21" s="96" t="n">
        <v>28000</v>
      </c>
      <c r="I21" s="96" t="n">
        <v>85000</v>
      </c>
      <c r="J21" s="90" t="n">
        <f aca="false">IF(H21&gt;0,I21/H21,0)</f>
        <v>3.03571428571429</v>
      </c>
      <c r="K21" s="96" t="n">
        <f aca="false">IF(J21&gt;0,H21/J21,0)</f>
        <v>9223.52941176471</v>
      </c>
      <c r="L21" s="95" t="n">
        <v>320</v>
      </c>
      <c r="M21" s="94" t="n">
        <f aca="false">IF(E21&gt;0,(D21-E21)/E21,0)</f>
        <v>1.11538461538462</v>
      </c>
      <c r="N21" s="5"/>
      <c r="O21" s="5"/>
      <c r="P21" s="5"/>
      <c r="Q21" s="5"/>
      <c r="R21" s="5"/>
      <c r="S21" s="5"/>
      <c r="T21" s="5"/>
    </row>
    <row r="22" customFormat="false" ht="15" hidden="false" customHeight="true" outlineLevel="0" collapsed="false">
      <c r="A22" s="5"/>
      <c r="B22" s="27" t="s">
        <v>128</v>
      </c>
      <c r="C22" s="97"/>
      <c r="D22" s="98"/>
      <c r="E22" s="98"/>
      <c r="F22" s="98" t="n">
        <f aca="false">D22-E22</f>
        <v>0</v>
      </c>
      <c r="G22" s="87" t="n">
        <f aca="false">IF(D22&gt;0,(D22-E22)/D22,0)</f>
        <v>0</v>
      </c>
      <c r="H22" s="98"/>
      <c r="I22" s="98"/>
      <c r="J22" s="99" t="n">
        <f aca="false">IF(H22&gt;0,I22/H22,0)</f>
        <v>0</v>
      </c>
      <c r="K22" s="98" t="n">
        <f aca="false">IF(J22&gt;0,H22/J22,0)</f>
        <v>0</v>
      </c>
      <c r="L22" s="97"/>
      <c r="M22" s="87" t="n">
        <f aca="false">IF(E22&gt;0,(D22-E22)/E22,0)</f>
        <v>0</v>
      </c>
      <c r="N22" s="5"/>
      <c r="O22" s="5"/>
      <c r="P22" s="5"/>
      <c r="Q22" s="5"/>
      <c r="R22" s="5"/>
      <c r="S22" s="5"/>
      <c r="T22" s="5"/>
    </row>
    <row r="23" customFormat="false" ht="15" hidden="false" customHeight="true" outlineLevel="0" collapsed="false">
      <c r="A23" s="5"/>
      <c r="B23" s="23" t="s">
        <v>129</v>
      </c>
      <c r="C23" s="95"/>
      <c r="D23" s="96"/>
      <c r="E23" s="96"/>
      <c r="F23" s="96" t="n">
        <f aca="false">D23-E23</f>
        <v>0</v>
      </c>
      <c r="G23" s="94" t="n">
        <f aca="false">IF(D23&gt;0,(D23-E23)/D23,0)</f>
        <v>0</v>
      </c>
      <c r="H23" s="96"/>
      <c r="I23" s="96"/>
      <c r="J23" s="90" t="n">
        <f aca="false">IF(H23&gt;0,I23/H23,0)</f>
        <v>0</v>
      </c>
      <c r="K23" s="96" t="n">
        <f aca="false">IF(J23&gt;0,H23/J23,0)</f>
        <v>0</v>
      </c>
      <c r="L23" s="95"/>
      <c r="M23" s="94" t="n">
        <f aca="false">IF(E23&gt;0,(D23-E23)/E23,0)</f>
        <v>0</v>
      </c>
      <c r="N23" s="5"/>
      <c r="O23" s="5"/>
      <c r="P23" s="5"/>
      <c r="Q23" s="5"/>
      <c r="R23" s="5"/>
      <c r="S23" s="5"/>
      <c r="T23" s="5"/>
    </row>
    <row r="24" customFormat="false" ht="15" hidden="false" customHeight="true" outlineLevel="0" collapsed="false">
      <c r="A24" s="5"/>
      <c r="B24" s="27" t="s">
        <v>130</v>
      </c>
      <c r="C24" s="97"/>
      <c r="D24" s="98"/>
      <c r="E24" s="98"/>
      <c r="F24" s="98" t="n">
        <f aca="false">D24-E24</f>
        <v>0</v>
      </c>
      <c r="G24" s="87" t="n">
        <f aca="false">IF(D24&gt;0,(D24-E24)/D24,0)</f>
        <v>0</v>
      </c>
      <c r="H24" s="98"/>
      <c r="I24" s="98"/>
      <c r="J24" s="99" t="n">
        <f aca="false">IF(H24&gt;0,I24/H24,0)</f>
        <v>0</v>
      </c>
      <c r="K24" s="98" t="n">
        <f aca="false">IF(J24&gt;0,H24/J24,0)</f>
        <v>0</v>
      </c>
      <c r="L24" s="97"/>
      <c r="M24" s="87" t="n">
        <f aca="false">IF(E24&gt;0,(D24-E24)/E24,0)</f>
        <v>0</v>
      </c>
      <c r="N24" s="5"/>
      <c r="O24" s="5"/>
      <c r="P24" s="5"/>
      <c r="Q24" s="5"/>
      <c r="R24" s="5"/>
      <c r="S24" s="5"/>
      <c r="T24" s="5"/>
    </row>
    <row r="25" customFormat="false" ht="15" hidden="false" customHeight="true" outlineLevel="0" collapsed="false">
      <c r="A25" s="5"/>
      <c r="B25" s="23" t="s">
        <v>131</v>
      </c>
      <c r="C25" s="95"/>
      <c r="D25" s="96"/>
      <c r="E25" s="96"/>
      <c r="F25" s="96" t="n">
        <f aca="false">D25-E25</f>
        <v>0</v>
      </c>
      <c r="G25" s="94" t="n">
        <f aca="false">IF(D25&gt;0,(D25-E25)/D25,0)</f>
        <v>0</v>
      </c>
      <c r="H25" s="96"/>
      <c r="I25" s="96"/>
      <c r="J25" s="90" t="n">
        <f aca="false">IF(H25&gt;0,I25/H25,0)</f>
        <v>0</v>
      </c>
      <c r="K25" s="96" t="n">
        <f aca="false">IF(J25&gt;0,H25/J25,0)</f>
        <v>0</v>
      </c>
      <c r="L25" s="95"/>
      <c r="M25" s="94" t="n">
        <f aca="false">IF(E25&gt;0,(D25-E25)/E25,0)</f>
        <v>0</v>
      </c>
      <c r="N25" s="5"/>
      <c r="O25" s="5"/>
      <c r="P25" s="5"/>
      <c r="Q25" s="5"/>
      <c r="R25" s="5"/>
      <c r="S25" s="5"/>
      <c r="T25" s="5"/>
    </row>
    <row r="26" customFormat="false" ht="15" hidden="false" customHeight="true" outlineLevel="0" collapsed="false">
      <c r="A26" s="5"/>
      <c r="B26" s="27" t="s">
        <v>132</v>
      </c>
      <c r="C26" s="97"/>
      <c r="D26" s="98"/>
      <c r="E26" s="98"/>
      <c r="F26" s="98" t="n">
        <f aca="false">D26-E26</f>
        <v>0</v>
      </c>
      <c r="G26" s="87" t="n">
        <f aca="false">IF(D26&gt;0,(D26-E26)/D26,0)</f>
        <v>0</v>
      </c>
      <c r="H26" s="98"/>
      <c r="I26" s="98"/>
      <c r="J26" s="99" t="n">
        <f aca="false">IF(H26&gt;0,I26/H26,0)</f>
        <v>0</v>
      </c>
      <c r="K26" s="98" t="n">
        <f aca="false">IF(J26&gt;0,H26/J26,0)</f>
        <v>0</v>
      </c>
      <c r="L26" s="97"/>
      <c r="M26" s="87" t="n">
        <f aca="false">IF(E26&gt;0,(D26-E26)/E26,0)</f>
        <v>0</v>
      </c>
      <c r="N26" s="5"/>
      <c r="O26" s="5"/>
      <c r="P26" s="5"/>
      <c r="Q26" s="5"/>
      <c r="R26" s="5"/>
      <c r="S26" s="5"/>
      <c r="T26" s="5"/>
    </row>
    <row r="27" customFormat="false" ht="15" hidden="false" customHeight="true" outlineLevel="0" collapsed="false">
      <c r="A27" s="5"/>
      <c r="B27" s="23" t="s">
        <v>133</v>
      </c>
      <c r="C27" s="95"/>
      <c r="D27" s="96"/>
      <c r="E27" s="96"/>
      <c r="F27" s="96" t="n">
        <f aca="false">D27-E27</f>
        <v>0</v>
      </c>
      <c r="G27" s="94" t="n">
        <f aca="false">IF(D27&gt;0,(D27-E27)/D27,0)</f>
        <v>0</v>
      </c>
      <c r="H27" s="96"/>
      <c r="I27" s="96"/>
      <c r="J27" s="90" t="n">
        <f aca="false">IF(H27&gt;0,I27/H27,0)</f>
        <v>0</v>
      </c>
      <c r="K27" s="96" t="n">
        <f aca="false">IF(J27&gt;0,H27/J27,0)</f>
        <v>0</v>
      </c>
      <c r="L27" s="95"/>
      <c r="M27" s="94" t="n">
        <f aca="false">IF(E27&gt;0,(D27-E27)/E27,0)</f>
        <v>0</v>
      </c>
      <c r="N27" s="5"/>
      <c r="O27" s="5"/>
      <c r="P27" s="5"/>
      <c r="Q27" s="5"/>
      <c r="R27" s="5"/>
      <c r="S27" s="5"/>
      <c r="T27" s="5"/>
    </row>
    <row r="28" customFormat="false" ht="15" hidden="false" customHeight="true" outlineLevel="0" collapsed="false">
      <c r="A28" s="5"/>
      <c r="B28" s="27" t="s">
        <v>134</v>
      </c>
      <c r="C28" s="97"/>
      <c r="D28" s="98"/>
      <c r="E28" s="98"/>
      <c r="F28" s="98" t="n">
        <f aca="false">D28-E28</f>
        <v>0</v>
      </c>
      <c r="G28" s="87" t="n">
        <f aca="false">IF(D28&gt;0,(D28-E28)/D28,0)</f>
        <v>0</v>
      </c>
      <c r="H28" s="98"/>
      <c r="I28" s="98"/>
      <c r="J28" s="99" t="n">
        <f aca="false">IF(H28&gt;0,I28/H28,0)</f>
        <v>0</v>
      </c>
      <c r="K28" s="98" t="n">
        <f aca="false">IF(J28&gt;0,H28/J28,0)</f>
        <v>0</v>
      </c>
      <c r="L28" s="97"/>
      <c r="M28" s="87" t="n">
        <f aca="false">IF(E28&gt;0,(D28-E28)/E28,0)</f>
        <v>0</v>
      </c>
      <c r="N28" s="5"/>
      <c r="O28" s="5"/>
      <c r="P28" s="5"/>
      <c r="Q28" s="5"/>
      <c r="R28" s="5"/>
      <c r="S28" s="5"/>
      <c r="T28" s="5"/>
    </row>
    <row r="29" customFormat="false" ht="15" hidden="false" customHeight="true" outlineLevel="0" collapsed="false">
      <c r="A29" s="5"/>
      <c r="B29" s="23" t="s">
        <v>135</v>
      </c>
      <c r="C29" s="95"/>
      <c r="D29" s="96"/>
      <c r="E29" s="96"/>
      <c r="F29" s="96" t="n">
        <f aca="false">D29-E29</f>
        <v>0</v>
      </c>
      <c r="G29" s="94" t="n">
        <f aca="false">IF(D29&gt;0,(D29-E29)/D29,0)</f>
        <v>0</v>
      </c>
      <c r="H29" s="96"/>
      <c r="I29" s="96"/>
      <c r="J29" s="90" t="n">
        <f aca="false">IF(H29&gt;0,I29/H29,0)</f>
        <v>0</v>
      </c>
      <c r="K29" s="96" t="n">
        <f aca="false">IF(J29&gt;0,H29/J29,0)</f>
        <v>0</v>
      </c>
      <c r="L29" s="95"/>
      <c r="M29" s="94" t="n">
        <f aca="false">IF(E29&gt;0,(D29-E29)/E29,0)</f>
        <v>0</v>
      </c>
      <c r="N29" s="5"/>
      <c r="O29" s="5"/>
      <c r="P29" s="5"/>
      <c r="Q29" s="5"/>
      <c r="R29" s="5"/>
      <c r="S29" s="5"/>
      <c r="T29" s="5"/>
    </row>
    <row r="30" customFormat="false" ht="15" hidden="false" customHeight="true" outlineLevel="0" collapsed="false">
      <c r="A30" s="5"/>
      <c r="B30" s="27" t="s">
        <v>136</v>
      </c>
      <c r="C30" s="97"/>
      <c r="D30" s="98"/>
      <c r="E30" s="98"/>
      <c r="F30" s="98" t="n">
        <f aca="false">D30-E30</f>
        <v>0</v>
      </c>
      <c r="G30" s="87" t="n">
        <f aca="false">IF(D30&gt;0,(D30-E30)/D30,0)</f>
        <v>0</v>
      </c>
      <c r="H30" s="98"/>
      <c r="I30" s="98"/>
      <c r="J30" s="99" t="n">
        <f aca="false">IF(H30&gt;0,I30/H30,0)</f>
        <v>0</v>
      </c>
      <c r="K30" s="98" t="n">
        <f aca="false">IF(J30&gt;0,H30/J30,0)</f>
        <v>0</v>
      </c>
      <c r="L30" s="97"/>
      <c r="M30" s="87" t="n">
        <f aca="false">IF(E30&gt;0,(D30-E30)/E30,0)</f>
        <v>0</v>
      </c>
      <c r="N30" s="5"/>
      <c r="O30" s="5"/>
      <c r="P30" s="5"/>
      <c r="Q30" s="5"/>
      <c r="R30" s="5"/>
      <c r="S30" s="5"/>
      <c r="T30" s="5"/>
    </row>
    <row r="31" customFormat="false" ht="15" hidden="false" customHeight="true" outlineLevel="0" collapsed="false">
      <c r="A31" s="5"/>
      <c r="B31" s="78" t="s">
        <v>137</v>
      </c>
      <c r="C31" s="100" t="n">
        <f aca="false">COUNTA(C19:C30)</f>
        <v>3</v>
      </c>
      <c r="D31" s="100" t="n">
        <f aca="false">SUM(D19:D30)</f>
        <v>303000</v>
      </c>
      <c r="E31" s="100" t="n">
        <f aca="false">SUM(E19:E30)</f>
        <v>149000</v>
      </c>
      <c r="F31" s="101" t="n">
        <f aca="false">SUM(F19:F30)</f>
        <v>154000</v>
      </c>
      <c r="G31" s="102" t="n">
        <f aca="false">IF(D31&gt;0,(D31-E31)/D31,0)</f>
        <v>0.508250825082508</v>
      </c>
      <c r="H31" s="100" t="n">
        <f aca="false">SUM(H19:H30)</f>
        <v>73000</v>
      </c>
      <c r="I31" s="101" t="n">
        <f aca="false">SUM(I19:I30)</f>
        <v>225000</v>
      </c>
      <c r="J31" s="103" t="n">
        <f aca="false">IF(H31&gt;0,I31/H31,0)</f>
        <v>3.08219178082192</v>
      </c>
      <c r="K31" s="104" t="n">
        <f aca="false">IF(SUM(L19:L30)&gt;0,H31/SUM(L19:L30),0)</f>
        <v>81.5642458100559</v>
      </c>
      <c r="L31" s="101" t="n">
        <f aca="false">SUM(L19:L30)</f>
        <v>895</v>
      </c>
      <c r="M31" s="105" t="n">
        <f aca="false">IF(H31&gt;0,(I31-H31)/H31,0)</f>
        <v>2.08219178082192</v>
      </c>
      <c r="N31" s="5"/>
      <c r="O31" s="5"/>
      <c r="P31" s="5"/>
      <c r="Q31" s="5"/>
      <c r="R31" s="5"/>
      <c r="S31" s="5"/>
      <c r="T31" s="5"/>
    </row>
    <row r="32" customFormat="false" ht="1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customFormat="false" ht="15.75" hidden="false" customHeight="true" outlineLevel="0" collapsed="false">
      <c r="A33" s="5"/>
      <c r="B33" s="21" t="s">
        <v>138</v>
      </c>
      <c r="C33" s="21"/>
      <c r="D33" s="21"/>
      <c r="E33" s="21"/>
      <c r="F33" s="21"/>
      <c r="G33" s="21"/>
      <c r="H33" s="21"/>
      <c r="I33" s="21"/>
      <c r="J33" s="21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customFormat="false" ht="15" hidden="false" customHeight="true" outlineLevel="0" collapsed="false">
      <c r="A34" s="5"/>
      <c r="B34" s="22" t="s">
        <v>17</v>
      </c>
      <c r="C34" s="22" t="s">
        <v>139</v>
      </c>
      <c r="D34" s="22" t="s">
        <v>140</v>
      </c>
      <c r="E34" s="22" t="s">
        <v>119</v>
      </c>
      <c r="F34" s="22" t="s">
        <v>121</v>
      </c>
      <c r="G34" s="22" t="s">
        <v>122</v>
      </c>
      <c r="H34" s="22" t="s">
        <v>124</v>
      </c>
      <c r="I34" s="22" t="s">
        <v>21</v>
      </c>
      <c r="J34" s="22" t="s">
        <v>42</v>
      </c>
      <c r="K34" s="5"/>
      <c r="L34" s="5"/>
      <c r="M34" s="5"/>
      <c r="N34" s="5"/>
      <c r="O34" s="5"/>
      <c r="P34" s="5"/>
      <c r="Q34" s="5"/>
      <c r="R34" s="5"/>
      <c r="S34" s="5"/>
      <c r="T34" s="5"/>
    </row>
    <row r="35" customFormat="false" ht="15" hidden="false" customHeight="true" outlineLevel="0" collapsed="false">
      <c r="A35" s="5"/>
      <c r="B35" s="23" t="s">
        <v>23</v>
      </c>
      <c r="C35" s="23" t="s">
        <v>141</v>
      </c>
      <c r="D35" s="24" t="n">
        <v>18000</v>
      </c>
      <c r="E35" s="24" t="n">
        <v>5000</v>
      </c>
      <c r="F35" s="24" t="n">
        <v>12000</v>
      </c>
      <c r="G35" s="24" t="n">
        <v>38000</v>
      </c>
      <c r="H35" s="23" t="n">
        <v>120</v>
      </c>
      <c r="I35" s="106" t="n">
        <f aca="false">IF(F35&gt;0,G35/F35,0)</f>
        <v>3.16666666666667</v>
      </c>
      <c r="J35" s="107" t="n">
        <f aca="false">IF(D35&gt;0,(D35-E35)/D35,0)</f>
        <v>0.722222222222222</v>
      </c>
      <c r="K35" s="5"/>
      <c r="L35" s="5"/>
      <c r="M35" s="5"/>
      <c r="N35" s="5"/>
      <c r="O35" s="5"/>
      <c r="P35" s="5"/>
      <c r="Q35" s="5"/>
      <c r="R35" s="5"/>
      <c r="S35" s="5"/>
      <c r="T35" s="5"/>
    </row>
    <row r="36" customFormat="false" ht="15" hidden="false" customHeight="true" outlineLevel="0" collapsed="false">
      <c r="A36" s="5"/>
      <c r="B36" s="27" t="s">
        <v>26</v>
      </c>
      <c r="C36" s="27" t="s">
        <v>142</v>
      </c>
      <c r="D36" s="28" t="n">
        <v>8000</v>
      </c>
      <c r="E36" s="28" t="n">
        <v>2000</v>
      </c>
      <c r="F36" s="28" t="n">
        <v>4000</v>
      </c>
      <c r="G36" s="28" t="n">
        <v>14000</v>
      </c>
      <c r="H36" s="27" t="n">
        <v>45</v>
      </c>
      <c r="I36" s="108" t="n">
        <f aca="false">IF(F36&gt;0,G36/F36,0)</f>
        <v>3.5</v>
      </c>
      <c r="J36" s="109" t="n">
        <f aca="false">IF(D36&gt;0,(D36-E36)/D36,0)</f>
        <v>0.75</v>
      </c>
      <c r="K36" s="5"/>
      <c r="L36" s="5"/>
      <c r="M36" s="5"/>
      <c r="N36" s="5"/>
      <c r="O36" s="5"/>
      <c r="P36" s="5"/>
      <c r="Q36" s="5"/>
      <c r="R36" s="5"/>
      <c r="S36" s="5"/>
      <c r="T36" s="5"/>
    </row>
    <row r="37" customFormat="false" ht="15" hidden="false" customHeight="true" outlineLevel="0" collapsed="false">
      <c r="A37" s="5"/>
      <c r="B37" s="23" t="s">
        <v>28</v>
      </c>
      <c r="C37" s="23" t="s">
        <v>143</v>
      </c>
      <c r="D37" s="24" t="n">
        <v>25000</v>
      </c>
      <c r="E37" s="24" t="n">
        <v>8000</v>
      </c>
      <c r="F37" s="24" t="n">
        <v>8000</v>
      </c>
      <c r="G37" s="24" t="n">
        <v>28000</v>
      </c>
      <c r="H37" s="23" t="n">
        <v>95</v>
      </c>
      <c r="I37" s="106" t="n">
        <f aca="false">IF(F37&gt;0,G37/F37,0)</f>
        <v>3.5</v>
      </c>
      <c r="J37" s="107" t="n">
        <f aca="false">IF(D37&gt;0,(D37-E37)/D37,0)</f>
        <v>0.68</v>
      </c>
      <c r="K37" s="5"/>
      <c r="L37" s="5"/>
      <c r="M37" s="5"/>
      <c r="N37" s="5"/>
      <c r="O37" s="5"/>
      <c r="P37" s="5"/>
      <c r="Q37" s="5"/>
      <c r="R37" s="5"/>
      <c r="S37" s="5"/>
      <c r="T37" s="5"/>
    </row>
    <row r="38" customFormat="false" ht="15" hidden="false" customHeight="true" outlineLevel="0" collapsed="false">
      <c r="A38" s="5"/>
      <c r="B38" s="27" t="s">
        <v>31</v>
      </c>
      <c r="C38" s="27" t="s">
        <v>142</v>
      </c>
      <c r="D38" s="28" t="n">
        <v>6000</v>
      </c>
      <c r="E38" s="28" t="n">
        <v>1500</v>
      </c>
      <c r="F38" s="28" t="n">
        <v>2000</v>
      </c>
      <c r="G38" s="28" t="n">
        <v>7000</v>
      </c>
      <c r="H38" s="27" t="n">
        <v>30</v>
      </c>
      <c r="I38" s="108" t="n">
        <f aca="false">IF(F38&gt;0,G38/F38,0)</f>
        <v>3.5</v>
      </c>
      <c r="J38" s="109" t="n">
        <f aca="false">IF(D38&gt;0,(D38-E38)/D38,0)</f>
        <v>0.75</v>
      </c>
      <c r="K38" s="5"/>
      <c r="L38" s="5"/>
      <c r="M38" s="5"/>
      <c r="N38" s="5"/>
      <c r="O38" s="5"/>
      <c r="P38" s="5"/>
      <c r="Q38" s="5"/>
      <c r="R38" s="5"/>
      <c r="S38" s="5"/>
      <c r="T38" s="5"/>
    </row>
    <row r="39" customFormat="false" ht="15" hidden="false" customHeight="true" outlineLevel="0" collapsed="false">
      <c r="A39" s="5"/>
      <c r="B39" s="23" t="s">
        <v>33</v>
      </c>
      <c r="C39" s="23" t="s">
        <v>141</v>
      </c>
      <c r="D39" s="24" t="n">
        <v>14000</v>
      </c>
      <c r="E39" s="24" t="n">
        <v>4500</v>
      </c>
      <c r="F39" s="24" t="n">
        <v>6000</v>
      </c>
      <c r="G39" s="24" t="n">
        <v>22000</v>
      </c>
      <c r="H39" s="23" t="n">
        <v>60</v>
      </c>
      <c r="I39" s="106" t="n">
        <f aca="false">IF(F39&gt;0,G39/F39,0)</f>
        <v>3.66666666666667</v>
      </c>
      <c r="J39" s="107" t="n">
        <f aca="false">IF(D39&gt;0,(D39-E39)/D39,0)</f>
        <v>0.678571428571429</v>
      </c>
      <c r="K39" s="5"/>
      <c r="L39" s="5"/>
      <c r="M39" s="5"/>
      <c r="N39" s="5"/>
      <c r="O39" s="5"/>
      <c r="P39" s="5"/>
      <c r="Q39" s="5"/>
      <c r="R39" s="5"/>
      <c r="S39" s="5"/>
      <c r="T39" s="5"/>
    </row>
    <row r="40" customFormat="false" ht="1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customFormat="false" ht="1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customFormat="false" ht="15" hidden="false" customHeight="true" outlineLevel="0" collapsed="false">
      <c r="A42" s="5"/>
      <c r="B42" s="32" t="s">
        <v>144</v>
      </c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5"/>
      <c r="O42" s="5"/>
      <c r="P42" s="5"/>
      <c r="Q42" s="5"/>
      <c r="R42" s="5"/>
      <c r="S42" s="5"/>
      <c r="T42" s="5"/>
    </row>
    <row r="43" customFormat="false" ht="15" hidden="false" customHeight="true" outlineLevel="0" collapsed="false">
      <c r="A43" s="5"/>
      <c r="B43" s="22" t="s">
        <v>17</v>
      </c>
      <c r="C43" s="22" t="s">
        <v>145</v>
      </c>
      <c r="D43" s="22" t="s">
        <v>146</v>
      </c>
      <c r="E43" s="22" t="s">
        <v>147</v>
      </c>
      <c r="F43" s="22" t="s">
        <v>148</v>
      </c>
      <c r="G43" s="22" t="s">
        <v>78</v>
      </c>
      <c r="H43" s="22" t="s">
        <v>149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customFormat="false" ht="15" hidden="false" customHeight="true" outlineLevel="0" collapsed="false">
      <c r="A44" s="5"/>
      <c r="B44" s="23" t="s">
        <v>23</v>
      </c>
      <c r="C44" s="96" t="n">
        <v>18000</v>
      </c>
      <c r="D44" s="110" t="n">
        <v>65</v>
      </c>
      <c r="E44" s="111" t="n">
        <f aca="false">C44/D44</f>
        <v>276.923076923077</v>
      </c>
      <c r="F44" s="80" t="n">
        <v>5000</v>
      </c>
      <c r="G44" s="112" t="n">
        <f aca="false">(C44-F44)/D44</f>
        <v>200</v>
      </c>
      <c r="H44" s="95" t="str">
        <f aca="false">IF(E44&gt;=300,"🟢 Premium",IF(E44&gt;=200,"🟡 Estándar","🔴 Revisar precio"))</f>
        <v>🟡 Estándar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customFormat="false" ht="15" hidden="false" customHeight="true" outlineLevel="0" collapsed="false">
      <c r="A45" s="5"/>
      <c r="B45" s="27" t="s">
        <v>26</v>
      </c>
      <c r="C45" s="98" t="n">
        <v>8000</v>
      </c>
      <c r="D45" s="113" t="n">
        <v>30</v>
      </c>
      <c r="E45" s="114" t="n">
        <f aca="false">C45/D45</f>
        <v>266.666666666667</v>
      </c>
      <c r="F45" s="82" t="n">
        <v>2000</v>
      </c>
      <c r="G45" s="115" t="n">
        <f aca="false">(C45-F45)/D45</f>
        <v>200</v>
      </c>
      <c r="H45" s="97" t="str">
        <f aca="false">IF(E45&gt;=300,"🟢 Premium",IF(E45&gt;=200,"🟡 Estándar","🔴 Revisar precio"))</f>
        <v>🟡 Estándar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customFormat="false" ht="15" hidden="false" customHeight="true" outlineLevel="0" collapsed="false">
      <c r="A46" s="5"/>
      <c r="B46" s="23" t="s">
        <v>28</v>
      </c>
      <c r="C46" s="96" t="n">
        <v>25000</v>
      </c>
      <c r="D46" s="110" t="n">
        <v>90</v>
      </c>
      <c r="E46" s="111" t="n">
        <f aca="false">C46/D46</f>
        <v>277.777777777778</v>
      </c>
      <c r="F46" s="80" t="n">
        <v>8000</v>
      </c>
      <c r="G46" s="112" t="n">
        <f aca="false">(C46-F46)/D46</f>
        <v>188.888888888889</v>
      </c>
      <c r="H46" s="95" t="str">
        <f aca="false">IF(E46&gt;=300,"🟢 Premium",IF(E46&gt;=200,"🟡 Estándar","🔴 Revisar precio"))</f>
        <v>🟡 Estándar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customFormat="false" ht="15" hidden="false" customHeight="true" outlineLevel="0" collapsed="false">
      <c r="A47" s="5"/>
      <c r="B47" s="27" t="s">
        <v>31</v>
      </c>
      <c r="C47" s="98" t="n">
        <v>6000</v>
      </c>
      <c r="D47" s="113" t="n">
        <v>20</v>
      </c>
      <c r="E47" s="114" t="n">
        <f aca="false">C47/D47</f>
        <v>300</v>
      </c>
      <c r="F47" s="82" t="n">
        <v>1500</v>
      </c>
      <c r="G47" s="115" t="n">
        <f aca="false">(C47-F47)/D47</f>
        <v>225</v>
      </c>
      <c r="H47" s="97" t="str">
        <f aca="false">IF(E47&gt;=300,"🟢 Premium",IF(E47&gt;=200,"🟡 Estándar","🔴 Revisar precio"))</f>
        <v>🟢 Premium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customFormat="false" ht="15" hidden="false" customHeight="true" outlineLevel="0" collapsed="false">
      <c r="A48" s="5"/>
      <c r="B48" s="23" t="s">
        <v>33</v>
      </c>
      <c r="C48" s="96" t="n">
        <v>14000</v>
      </c>
      <c r="D48" s="110" t="n">
        <v>50</v>
      </c>
      <c r="E48" s="111" t="n">
        <f aca="false">C48/D48</f>
        <v>280</v>
      </c>
      <c r="F48" s="80" t="n">
        <v>4500</v>
      </c>
      <c r="G48" s="112" t="n">
        <f aca="false">(C48-F48)/D48</f>
        <v>190</v>
      </c>
      <c r="H48" s="95" t="str">
        <f aca="false">IF(E48&gt;=300,"🟢 Premium",IF(E48&gt;=200,"🟡 Estándar","🔴 Revisar precio"))</f>
        <v>🟡 Estándar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customFormat="false" ht="1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customFormat="false" ht="1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customFormat="false" ht="1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customFormat="false" ht="15" hidden="false" customHeight="true" outlineLevel="0" collapsed="false">
      <c r="A52" s="5"/>
      <c r="B52" s="32" t="s">
        <v>150</v>
      </c>
      <c r="C52" s="32"/>
      <c r="D52" s="32"/>
      <c r="E52" s="32"/>
      <c r="F52" s="32"/>
      <c r="G52" s="32"/>
      <c r="H52" s="32"/>
      <c r="I52" s="32"/>
      <c r="J52" s="32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customFormat="false" ht="15" hidden="false" customHeight="true" outlineLevel="0" collapsed="false">
      <c r="A53" s="5"/>
      <c r="B53" s="116" t="s">
        <v>151</v>
      </c>
      <c r="C53" s="116"/>
      <c r="D53" s="116"/>
      <c r="E53" s="11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customFormat="false" ht="15" hidden="false" customHeight="true" outlineLevel="0" collapsed="false">
      <c r="A54" s="5"/>
      <c r="B54" s="39" t="s">
        <v>152</v>
      </c>
      <c r="C54" s="117" t="n">
        <v>150000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customFormat="false" ht="15" hidden="false" customHeight="true" outlineLevel="0" collapsed="false">
      <c r="A55" s="5"/>
      <c r="B55" s="39" t="s">
        <v>153</v>
      </c>
      <c r="C55" s="117" t="n">
        <v>12000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customFormat="false" ht="15" hidden="false" customHeight="true" outlineLevel="0" collapsed="false">
      <c r="A56" s="5"/>
      <c r="B56" s="39" t="s">
        <v>154</v>
      </c>
      <c r="C56" s="118" t="n">
        <v>160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customFormat="false" ht="1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customFormat="false" ht="15" hidden="false" customHeight="true" outlineLevel="0" collapsed="false">
      <c r="A58" s="5"/>
      <c r="B58" s="33" t="s">
        <v>155</v>
      </c>
      <c r="C58" s="119" t="n">
        <f aca="false">CEILING(C54/C55,1)</f>
        <v>13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customFormat="false" ht="15" hidden="false" customHeight="true" outlineLevel="0" collapsed="false">
      <c r="A59" s="5"/>
      <c r="B59" s="39" t="s">
        <v>156</v>
      </c>
      <c r="C59" s="120" t="n">
        <f aca="false">CEILING(C54/C55,1)*50</f>
        <v>650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customFormat="false" ht="15" hidden="false" customHeight="true" outlineLevel="0" collapsed="false">
      <c r="A60" s="5"/>
      <c r="B60" s="33" t="s">
        <v>157</v>
      </c>
      <c r="C60" s="119" t="str">
        <f aca="false">IF(CEILING(C54/C55,1)*50&lt;=C56,"✅ Sí, alcanzable","⚠️ Necesitas equipo o subir precios")</f>
        <v>⚠️ Necesitas equipo o subir precios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customFormat="false" ht="15" hidden="false" customHeight="true" outlineLevel="0" collapsed="false">
      <c r="A61" s="5"/>
      <c r="B61" s="39" t="s">
        <v>158</v>
      </c>
      <c r="C61" s="121" t="n">
        <f aca="false">C54/C56</f>
        <v>937.5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customFormat="false" ht="15" hidden="false" customHeight="true" outlineLevel="0" collapsed="false">
      <c r="A62" s="5"/>
      <c r="B62" s="33" t="s">
        <v>159</v>
      </c>
      <c r="C62" s="122" t="n">
        <f aca="false">C54*0.4</f>
        <v>60000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customFormat="false" ht="1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customFormat="false" ht="1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customFormat="false" ht="1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customFormat="false" ht="1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customFormat="false" ht="1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customFormat="false" ht="1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customFormat="false" ht="1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customFormat="false" ht="1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customFormat="false" ht="1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customFormat="false" ht="1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customFormat="false" ht="1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customFormat="false" ht="1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customFormat="false" ht="1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customFormat="false" ht="1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customFormat="false" ht="1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customFormat="false" ht="1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customFormat="false" ht="1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customFormat="false" ht="1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customFormat="false" ht="1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customFormat="false" ht="1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customFormat="false" ht="1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customFormat="false" ht="1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customFormat="false" ht="1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customFormat="false" ht="1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customFormat="false" ht="1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customFormat="false" ht="1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customFormat="false" ht="1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customFormat="false" ht="1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customFormat="false" ht="1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customFormat="false" ht="1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customFormat="false" ht="1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customFormat="false" ht="1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customFormat="false" ht="1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customFormat="false" ht="1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customFormat="false" ht="1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customFormat="false" ht="1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customFormat="false" ht="1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customFormat="false" ht="1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</sheetData>
  <mergeCells count="7">
    <mergeCell ref="B2:N2"/>
    <mergeCell ref="B4:H4"/>
    <mergeCell ref="B17:N17"/>
    <mergeCell ref="B33:J33"/>
    <mergeCell ref="B42:M42"/>
    <mergeCell ref="B52:J52"/>
    <mergeCell ref="B53:E53"/>
  </mergeCells>
  <hyperlinks>
    <hyperlink ref="B1" r:id="rId1" location="📊%20Dashboard!A1" display="📊 Dashboard"/>
    <hyperlink ref="D1" r:id="rId2" location="📅%20Calendario!A1" display="📅 Calendario"/>
    <hyperlink ref="H1" r:id="rId3" location="🤝%20CRM!A1" display="🤝 CRM"/>
    <hyperlink ref="J1" r:id="rId4" location="🏢%20Clientes!A1" display="🏢 Clientes"/>
    <hyperlink ref="L1" r:id="rId5" location="📈%20Métricas!A1" display="📈 Métrica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T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15"/>
    <col collapsed="false" customWidth="true" hidden="false" outlineLevel="0" max="7" min="7" style="1" width="16"/>
    <col collapsed="false" customWidth="true" hidden="false" outlineLevel="0" max="8" min="8" style="1" width="15"/>
    <col collapsed="false" customWidth="true" hidden="false" outlineLevel="0" max="9" min="9" style="1" width="18"/>
    <col collapsed="false" customWidth="true" hidden="false" outlineLevel="0" max="10" min="10" style="1" width="16"/>
    <col collapsed="false" customWidth="true" hidden="false" outlineLevel="0" max="11" min="11" style="1" width="14"/>
    <col collapsed="false" customWidth="true" hidden="false" outlineLevel="0" max="12" min="12" style="1" width="16"/>
    <col collapsed="false" customWidth="true" hidden="false" outlineLevel="0" max="13" min="13" style="1" width="18"/>
    <col collapsed="false" customWidth="true" hidden="false" outlineLevel="0" max="14" min="14" style="1" width="16"/>
  </cols>
  <sheetData>
    <row r="1" customFormat="false" ht="21.75" hidden="false" customHeight="true" outlineLevel="0" collapsed="false">
      <c r="A1" s="2"/>
      <c r="B1" s="4" t="s">
        <v>0</v>
      </c>
      <c r="C1" s="2"/>
      <c r="D1" s="4" t="s">
        <v>1</v>
      </c>
      <c r="E1" s="2"/>
      <c r="F1" s="4" t="s">
        <v>2</v>
      </c>
      <c r="G1" s="2"/>
      <c r="H1" s="3" t="s">
        <v>3</v>
      </c>
      <c r="I1" s="2"/>
      <c r="J1" s="4" t="s">
        <v>4</v>
      </c>
      <c r="K1" s="2"/>
      <c r="L1" s="4" t="s">
        <v>5</v>
      </c>
      <c r="M1" s="2"/>
      <c r="N1" s="2"/>
      <c r="O1" s="2"/>
      <c r="P1" s="5"/>
      <c r="Q1" s="5"/>
      <c r="R1" s="5"/>
      <c r="S1" s="5"/>
      <c r="T1" s="5"/>
    </row>
    <row r="2" customFormat="false" ht="19.5" hidden="false" customHeight="true" outlineLevel="0" collapsed="false">
      <c r="A2" s="6"/>
      <c r="B2" s="64" t="s">
        <v>160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5"/>
      <c r="P2" s="5"/>
      <c r="Q2" s="5"/>
      <c r="R2" s="5"/>
      <c r="S2" s="5"/>
      <c r="T2" s="5"/>
    </row>
    <row r="3" customFormat="false" ht="1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5"/>
      <c r="P3" s="5"/>
      <c r="Q3" s="5"/>
      <c r="R3" s="5"/>
      <c r="S3" s="5"/>
      <c r="T3" s="5"/>
    </row>
    <row r="4" customFormat="false" ht="15.75" hidden="false" customHeight="true" outlineLevel="0" collapsed="false">
      <c r="A4" s="5"/>
      <c r="B4" s="21" t="s">
        <v>161</v>
      </c>
      <c r="C4" s="21"/>
      <c r="D4" s="21"/>
      <c r="E4" s="21"/>
      <c r="F4" s="21"/>
      <c r="G4" s="21"/>
      <c r="H4" s="21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customFormat="false" ht="15" hidden="false" customHeight="true" outlineLevel="0" collapsed="false">
      <c r="A5" s="5"/>
      <c r="B5" s="123" t="s">
        <v>162</v>
      </c>
      <c r="C5" s="5"/>
      <c r="D5" s="123" t="s">
        <v>163</v>
      </c>
      <c r="E5" s="5"/>
      <c r="F5" s="123" t="s">
        <v>164</v>
      </c>
      <c r="G5" s="5"/>
      <c r="H5" s="123" t="s">
        <v>165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21.75" hidden="false" customHeight="true" outlineLevel="0" collapsed="false">
      <c r="A6" s="5"/>
      <c r="B6" s="124" t="n">
        <f aca="false">COUNTA(B9:B108)</f>
        <v>6</v>
      </c>
      <c r="C6" s="5"/>
      <c r="D6" s="124" t="n">
        <f aca="false">COUNTIF(G9:G108,"Activo")</f>
        <v>4</v>
      </c>
      <c r="E6" s="5"/>
      <c r="F6" s="124" t="n">
        <f aca="false">COUNTIF(G9:G108,"En negociación")</f>
        <v>1</v>
      </c>
      <c r="G6" s="5"/>
      <c r="H6" s="124" t="n">
        <f aca="false">COUNTIF(G9:G108,"Cerrado")+COUNTIF(G9:G108,"Completado")</f>
        <v>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1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customFormat="false" ht="15" hidden="false" customHeight="true" outlineLevel="0" collapsed="false">
      <c r="A8" s="5"/>
      <c r="B8" s="22" t="s">
        <v>166</v>
      </c>
      <c r="C8" s="22" t="s">
        <v>167</v>
      </c>
      <c r="D8" s="22" t="s">
        <v>68</v>
      </c>
      <c r="E8" s="22" t="s">
        <v>168</v>
      </c>
      <c r="F8" s="22" t="s">
        <v>169</v>
      </c>
      <c r="G8" s="22" t="s">
        <v>22</v>
      </c>
      <c r="H8" s="22" t="s">
        <v>170</v>
      </c>
      <c r="I8" s="22" t="s">
        <v>171</v>
      </c>
      <c r="J8" s="22" t="s">
        <v>172</v>
      </c>
      <c r="K8" s="22" t="s">
        <v>173</v>
      </c>
      <c r="L8" s="22" t="s">
        <v>174</v>
      </c>
      <c r="M8" s="22" t="s">
        <v>175</v>
      </c>
      <c r="N8" s="5"/>
      <c r="O8" s="5"/>
      <c r="P8" s="5"/>
      <c r="Q8" s="5"/>
      <c r="R8" s="5"/>
      <c r="S8" s="5"/>
      <c r="T8" s="5"/>
    </row>
    <row r="9" customFormat="false" ht="15" hidden="false" customHeight="true" outlineLevel="0" collapsed="false">
      <c r="A9" s="5"/>
      <c r="B9" s="23" t="s">
        <v>176</v>
      </c>
      <c r="C9" s="23" t="s">
        <v>177</v>
      </c>
      <c r="D9" s="23" t="s">
        <v>80</v>
      </c>
      <c r="E9" s="23" t="s">
        <v>176</v>
      </c>
      <c r="F9" s="125" t="n">
        <v>85000</v>
      </c>
      <c r="G9" s="26" t="s">
        <v>25</v>
      </c>
      <c r="H9" s="126" t="s">
        <v>178</v>
      </c>
      <c r="I9" s="23" t="s">
        <v>179</v>
      </c>
      <c r="J9" s="24" t="n">
        <v>8000</v>
      </c>
      <c r="K9" s="66" t="n">
        <v>46068</v>
      </c>
      <c r="L9" s="23" t="s">
        <v>180</v>
      </c>
      <c r="M9" s="23" t="s">
        <v>181</v>
      </c>
      <c r="N9" s="5"/>
      <c r="O9" s="5"/>
      <c r="P9" s="5"/>
      <c r="Q9" s="5"/>
      <c r="R9" s="5"/>
      <c r="S9" s="5"/>
      <c r="T9" s="5"/>
    </row>
    <row r="10" customFormat="false" ht="15" hidden="false" customHeight="true" outlineLevel="0" collapsed="false">
      <c r="A10" s="5"/>
      <c r="B10" s="27" t="s">
        <v>182</v>
      </c>
      <c r="C10" s="27" t="s">
        <v>183</v>
      </c>
      <c r="D10" s="27" t="s">
        <v>184</v>
      </c>
      <c r="E10" s="27" t="s">
        <v>185</v>
      </c>
      <c r="F10" s="127" t="n">
        <v>120000</v>
      </c>
      <c r="G10" s="74" t="s">
        <v>164</v>
      </c>
      <c r="H10" s="128" t="s">
        <v>178</v>
      </c>
      <c r="I10" s="27" t="s">
        <v>186</v>
      </c>
      <c r="J10" s="27" t="n">
        <v>0</v>
      </c>
      <c r="K10" s="69" t="n">
        <v>46082</v>
      </c>
      <c r="L10" s="27" t="s">
        <v>187</v>
      </c>
      <c r="M10" s="27" t="s">
        <v>188</v>
      </c>
      <c r="N10" s="5"/>
      <c r="O10" s="5"/>
      <c r="P10" s="5"/>
      <c r="Q10" s="5"/>
      <c r="R10" s="5"/>
      <c r="S10" s="5"/>
      <c r="T10" s="5"/>
    </row>
    <row r="11" customFormat="false" ht="15" hidden="false" customHeight="true" outlineLevel="0" collapsed="false">
      <c r="A11" s="5"/>
      <c r="B11" s="23" t="s">
        <v>189</v>
      </c>
      <c r="C11" s="23" t="s">
        <v>190</v>
      </c>
      <c r="D11" s="23" t="s">
        <v>96</v>
      </c>
      <c r="E11" s="23" t="s">
        <v>191</v>
      </c>
      <c r="F11" s="125" t="n">
        <v>45000</v>
      </c>
      <c r="G11" s="26" t="s">
        <v>25</v>
      </c>
      <c r="H11" s="31" t="s">
        <v>183</v>
      </c>
      <c r="I11" s="23" t="s">
        <v>192</v>
      </c>
      <c r="J11" s="23" t="n">
        <v>0</v>
      </c>
      <c r="K11" s="66" t="n">
        <v>46042</v>
      </c>
      <c r="L11" s="23" t="s">
        <v>193</v>
      </c>
      <c r="M11" s="23" t="s">
        <v>194</v>
      </c>
      <c r="N11" s="5"/>
      <c r="O11" s="5"/>
      <c r="P11" s="5"/>
      <c r="Q11" s="5"/>
      <c r="R11" s="5"/>
      <c r="S11" s="5"/>
      <c r="T11" s="5"/>
    </row>
    <row r="12" customFormat="false" ht="15" hidden="false" customHeight="true" outlineLevel="0" collapsed="false">
      <c r="A12" s="5"/>
      <c r="B12" s="27" t="s">
        <v>195</v>
      </c>
      <c r="C12" s="27" t="s">
        <v>196</v>
      </c>
      <c r="D12" s="27" t="s">
        <v>197</v>
      </c>
      <c r="E12" s="27" t="s">
        <v>198</v>
      </c>
      <c r="F12" s="27" t="n">
        <v>0</v>
      </c>
      <c r="G12" s="30" t="s">
        <v>25</v>
      </c>
      <c r="H12" s="128" t="s">
        <v>178</v>
      </c>
      <c r="I12" s="27" t="s">
        <v>199</v>
      </c>
      <c r="J12" s="27" t="n">
        <v>0</v>
      </c>
      <c r="K12" s="69" t="n">
        <v>46091</v>
      </c>
      <c r="L12" s="27" t="s">
        <v>200</v>
      </c>
      <c r="M12" s="27" t="s">
        <v>201</v>
      </c>
      <c r="N12" s="5"/>
      <c r="O12" s="5"/>
      <c r="P12" s="5"/>
      <c r="Q12" s="5"/>
      <c r="R12" s="5"/>
      <c r="S12" s="5"/>
      <c r="T12" s="5"/>
    </row>
    <row r="13" customFormat="false" ht="15" hidden="false" customHeight="true" outlineLevel="0" collapsed="false">
      <c r="A13" s="5"/>
      <c r="B13" s="23" t="s">
        <v>202</v>
      </c>
      <c r="C13" s="23" t="s">
        <v>177</v>
      </c>
      <c r="D13" s="23" t="s">
        <v>203</v>
      </c>
      <c r="E13" s="23" t="s">
        <v>202</v>
      </c>
      <c r="F13" s="125" t="n">
        <v>210000</v>
      </c>
      <c r="G13" s="73" t="s">
        <v>204</v>
      </c>
      <c r="H13" s="126" t="s">
        <v>178</v>
      </c>
      <c r="I13" s="23" t="s">
        <v>205</v>
      </c>
      <c r="J13" s="23" t="n">
        <v>0</v>
      </c>
      <c r="K13" s="66" t="n">
        <v>46099</v>
      </c>
      <c r="L13" s="23" t="s">
        <v>206</v>
      </c>
      <c r="M13" s="23" t="s">
        <v>207</v>
      </c>
      <c r="N13" s="5"/>
      <c r="O13" s="5"/>
      <c r="P13" s="5"/>
      <c r="Q13" s="5"/>
      <c r="R13" s="5"/>
      <c r="S13" s="5"/>
      <c r="T13" s="5"/>
    </row>
    <row r="14" customFormat="false" ht="15" hidden="false" customHeight="true" outlineLevel="0" collapsed="false">
      <c r="A14" s="5"/>
      <c r="B14" s="27" t="s">
        <v>208</v>
      </c>
      <c r="C14" s="27" t="s">
        <v>209</v>
      </c>
      <c r="D14" s="27" t="s">
        <v>210</v>
      </c>
      <c r="E14" s="27" t="s">
        <v>211</v>
      </c>
      <c r="F14" s="27" t="n">
        <v>0</v>
      </c>
      <c r="G14" s="30" t="s">
        <v>25</v>
      </c>
      <c r="H14" s="74" t="s">
        <v>183</v>
      </c>
      <c r="I14" s="27" t="s">
        <v>205</v>
      </c>
      <c r="J14" s="27" t="n">
        <v>0</v>
      </c>
      <c r="K14" s="69" t="n">
        <v>46058</v>
      </c>
      <c r="L14" s="27" t="s">
        <v>210</v>
      </c>
      <c r="M14" s="27" t="s">
        <v>212</v>
      </c>
      <c r="N14" s="5"/>
      <c r="O14" s="5"/>
      <c r="P14" s="5"/>
      <c r="Q14" s="5"/>
      <c r="R14" s="5"/>
      <c r="S14" s="5"/>
      <c r="T14" s="5"/>
    </row>
    <row r="15" customFormat="false" ht="15" hidden="false" customHeight="true" outlineLevel="0" collapsed="false">
      <c r="A15" s="5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5"/>
      <c r="O15" s="5"/>
      <c r="P15" s="5"/>
      <c r="Q15" s="5"/>
      <c r="R15" s="5"/>
      <c r="S15" s="5"/>
      <c r="T15" s="5"/>
    </row>
    <row r="16" customFormat="false" ht="15" hidden="false" customHeight="true" outlineLevel="0" collapsed="false">
      <c r="A16" s="5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5"/>
      <c r="O16" s="5"/>
      <c r="P16" s="5"/>
      <c r="Q16" s="5"/>
      <c r="R16" s="5"/>
      <c r="S16" s="5"/>
      <c r="T16" s="5"/>
    </row>
    <row r="17" customFormat="false" ht="15" hidden="false" customHeight="true" outlineLevel="0" collapsed="false">
      <c r="A17" s="5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5"/>
      <c r="O17" s="5"/>
      <c r="P17" s="5"/>
      <c r="Q17" s="5"/>
      <c r="R17" s="5"/>
      <c r="S17" s="5"/>
      <c r="T17" s="5"/>
    </row>
    <row r="18" customFormat="false" ht="15" hidden="false" customHeight="true" outlineLevel="0" collapsed="false">
      <c r="A18" s="5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5"/>
      <c r="O18" s="5"/>
      <c r="P18" s="5"/>
      <c r="Q18" s="5"/>
      <c r="R18" s="5"/>
      <c r="S18" s="5"/>
      <c r="T18" s="5"/>
    </row>
    <row r="19" customFormat="false" ht="15" hidden="false" customHeight="true" outlineLevel="0" collapsed="false">
      <c r="A19" s="5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5"/>
      <c r="O19" s="5"/>
      <c r="P19" s="5"/>
      <c r="Q19" s="5"/>
      <c r="R19" s="5"/>
      <c r="S19" s="5"/>
      <c r="T19" s="5"/>
    </row>
    <row r="20" customFormat="false" ht="15" hidden="false" customHeight="true" outlineLevel="0" collapsed="false">
      <c r="A20" s="5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5"/>
      <c r="O20" s="5"/>
      <c r="P20" s="5"/>
      <c r="Q20" s="5"/>
      <c r="R20" s="5"/>
      <c r="S20" s="5"/>
      <c r="T20" s="5"/>
    </row>
    <row r="21" customFormat="false" ht="15" hidden="false" customHeight="true" outlineLevel="0" collapsed="false">
      <c r="A21" s="5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5"/>
      <c r="O21" s="5"/>
      <c r="P21" s="5"/>
      <c r="Q21" s="5"/>
      <c r="R21" s="5"/>
      <c r="S21" s="5"/>
      <c r="T21" s="5"/>
    </row>
    <row r="22" customFormat="false" ht="15" hidden="false" customHeight="true" outlineLevel="0" collapsed="false">
      <c r="A22" s="5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5"/>
      <c r="O22" s="5"/>
      <c r="P22" s="5"/>
      <c r="Q22" s="5"/>
      <c r="R22" s="5"/>
      <c r="S22" s="5"/>
      <c r="T22" s="5"/>
    </row>
    <row r="23" customFormat="false" ht="15" hidden="false" customHeight="true" outlineLevel="0" collapsed="false">
      <c r="A23" s="5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5"/>
      <c r="O23" s="5"/>
      <c r="P23" s="5"/>
      <c r="Q23" s="5"/>
      <c r="R23" s="5"/>
      <c r="S23" s="5"/>
      <c r="T23" s="5"/>
    </row>
    <row r="24" customFormat="false" ht="15" hidden="false" customHeight="true" outlineLevel="0" collapsed="false">
      <c r="A24" s="5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5"/>
      <c r="O24" s="5"/>
      <c r="P24" s="5"/>
      <c r="Q24" s="5"/>
      <c r="R24" s="5"/>
      <c r="S24" s="5"/>
      <c r="T24" s="5"/>
    </row>
    <row r="25" customFormat="false" ht="15" hidden="false" customHeight="true" outlineLevel="0" collapsed="false">
      <c r="A25" s="5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5"/>
      <c r="O25" s="5"/>
      <c r="P25" s="5"/>
      <c r="Q25" s="5"/>
      <c r="R25" s="5"/>
      <c r="S25" s="5"/>
      <c r="T25" s="5"/>
    </row>
    <row r="26" customFormat="false" ht="15" hidden="false" customHeight="true" outlineLevel="0" collapsed="false">
      <c r="A26" s="5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5"/>
      <c r="O26" s="5"/>
      <c r="P26" s="5"/>
      <c r="Q26" s="5"/>
      <c r="R26" s="5"/>
      <c r="S26" s="5"/>
      <c r="T26" s="5"/>
    </row>
    <row r="27" customFormat="false" ht="15" hidden="false" customHeight="true" outlineLevel="0" collapsed="false">
      <c r="A27" s="5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5"/>
      <c r="O27" s="5"/>
      <c r="P27" s="5"/>
      <c r="Q27" s="5"/>
      <c r="R27" s="5"/>
      <c r="S27" s="5"/>
      <c r="T27" s="5"/>
    </row>
    <row r="28" customFormat="false" ht="15" hidden="false" customHeight="true" outlineLevel="0" collapsed="false">
      <c r="A28" s="5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5"/>
      <c r="O28" s="5"/>
      <c r="P28" s="5"/>
      <c r="Q28" s="5"/>
      <c r="R28" s="5"/>
      <c r="S28" s="5"/>
      <c r="T28" s="5"/>
    </row>
    <row r="29" customFormat="false" ht="15" hidden="false" customHeight="true" outlineLevel="0" collapsed="false">
      <c r="A29" s="5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5"/>
      <c r="O29" s="5"/>
      <c r="P29" s="5"/>
      <c r="Q29" s="5"/>
      <c r="R29" s="5"/>
      <c r="S29" s="5"/>
      <c r="T29" s="5"/>
    </row>
    <row r="30" customFormat="false" ht="15" hidden="false" customHeight="true" outlineLevel="0" collapsed="false">
      <c r="A30" s="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5"/>
      <c r="O30" s="5"/>
      <c r="P30" s="5"/>
      <c r="Q30" s="5"/>
      <c r="R30" s="5"/>
      <c r="S30" s="5"/>
      <c r="T30" s="5"/>
    </row>
    <row r="31" customFormat="false" ht="15" hidden="false" customHeight="true" outlineLevel="0" collapsed="false">
      <c r="A31" s="5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5"/>
      <c r="O31" s="5"/>
      <c r="P31" s="5"/>
      <c r="Q31" s="5"/>
      <c r="R31" s="5"/>
      <c r="S31" s="5"/>
      <c r="T31" s="5"/>
    </row>
    <row r="32" customFormat="false" ht="15" hidden="false" customHeight="true" outlineLevel="0" collapsed="false">
      <c r="A32" s="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5"/>
      <c r="O32" s="5"/>
      <c r="P32" s="5"/>
      <c r="Q32" s="5"/>
      <c r="R32" s="5"/>
      <c r="S32" s="5"/>
      <c r="T32" s="5"/>
    </row>
    <row r="33" customFormat="false" ht="15" hidden="false" customHeight="true" outlineLevel="0" collapsed="false">
      <c r="A33" s="5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5"/>
      <c r="O33" s="5"/>
      <c r="P33" s="5"/>
      <c r="Q33" s="5"/>
      <c r="R33" s="5"/>
      <c r="S33" s="5"/>
      <c r="T33" s="5"/>
    </row>
    <row r="34" customFormat="false" ht="15" hidden="false" customHeight="true" outlineLevel="0" collapsed="false">
      <c r="A34" s="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5"/>
      <c r="O34" s="5"/>
      <c r="P34" s="5"/>
      <c r="Q34" s="5"/>
      <c r="R34" s="5"/>
      <c r="S34" s="5"/>
      <c r="T34" s="5"/>
    </row>
    <row r="35" customFormat="false" ht="15" hidden="false" customHeight="true" outlineLevel="0" collapsed="false">
      <c r="A35" s="5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5"/>
      <c r="O35" s="5"/>
      <c r="P35" s="5"/>
      <c r="Q35" s="5"/>
      <c r="R35" s="5"/>
      <c r="S35" s="5"/>
      <c r="T35" s="5"/>
    </row>
    <row r="36" customFormat="false" ht="15" hidden="false" customHeight="true" outlineLevel="0" collapsed="false">
      <c r="A36" s="5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5"/>
      <c r="O36" s="5"/>
      <c r="P36" s="5"/>
      <c r="Q36" s="5"/>
      <c r="R36" s="5"/>
      <c r="S36" s="5"/>
      <c r="T36" s="5"/>
    </row>
    <row r="37" customFormat="false" ht="15" hidden="false" customHeight="true" outlineLevel="0" collapsed="false">
      <c r="A37" s="5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5"/>
      <c r="O37" s="5"/>
      <c r="P37" s="5"/>
      <c r="Q37" s="5"/>
      <c r="R37" s="5"/>
      <c r="S37" s="5"/>
      <c r="T37" s="5"/>
    </row>
    <row r="38" customFormat="false" ht="15" hidden="false" customHeight="true" outlineLevel="0" collapsed="false">
      <c r="A38" s="5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5"/>
      <c r="O38" s="5"/>
      <c r="P38" s="5"/>
      <c r="Q38" s="5"/>
      <c r="R38" s="5"/>
      <c r="S38" s="5"/>
      <c r="T38" s="5"/>
    </row>
    <row r="39" customFormat="false" ht="15" hidden="false" customHeight="true" outlineLevel="0" collapsed="false">
      <c r="A39" s="5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5"/>
      <c r="O39" s="5"/>
      <c r="P39" s="5"/>
      <c r="Q39" s="5"/>
      <c r="R39" s="5"/>
      <c r="S39" s="5"/>
      <c r="T39" s="5"/>
    </row>
    <row r="40" customFormat="false" ht="15" hidden="false" customHeight="true" outlineLevel="0" collapsed="false">
      <c r="A40" s="5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5"/>
      <c r="O40" s="5"/>
      <c r="P40" s="5"/>
      <c r="Q40" s="5"/>
      <c r="R40" s="5"/>
      <c r="S40" s="5"/>
      <c r="T40" s="5"/>
    </row>
    <row r="41" customFormat="false" ht="15" hidden="false" customHeight="true" outlineLevel="0" collapsed="false">
      <c r="A41" s="5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5"/>
      <c r="O41" s="5"/>
      <c r="P41" s="5"/>
      <c r="Q41" s="5"/>
      <c r="R41" s="5"/>
      <c r="S41" s="5"/>
      <c r="T41" s="5"/>
    </row>
    <row r="42" customFormat="false" ht="15" hidden="false" customHeight="true" outlineLevel="0" collapsed="false">
      <c r="A42" s="5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5"/>
      <c r="O42" s="5"/>
      <c r="P42" s="5"/>
      <c r="Q42" s="5"/>
      <c r="R42" s="5"/>
      <c r="S42" s="5"/>
      <c r="T42" s="5"/>
    </row>
    <row r="43" customFormat="false" ht="15" hidden="false" customHeight="true" outlineLevel="0" collapsed="false">
      <c r="A43" s="5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5"/>
      <c r="O43" s="5"/>
      <c r="P43" s="5"/>
      <c r="Q43" s="5"/>
      <c r="R43" s="5"/>
      <c r="S43" s="5"/>
      <c r="T43" s="5"/>
    </row>
    <row r="44" customFormat="false" ht="15" hidden="false" customHeight="true" outlineLevel="0" collapsed="false">
      <c r="A44" s="5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5"/>
      <c r="O44" s="5"/>
      <c r="P44" s="5"/>
      <c r="Q44" s="5"/>
      <c r="R44" s="5"/>
      <c r="S44" s="5"/>
      <c r="T44" s="5"/>
    </row>
    <row r="45" customFormat="false" ht="15" hidden="false" customHeight="true" outlineLevel="0" collapsed="false">
      <c r="A45" s="5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5"/>
      <c r="O45" s="5"/>
      <c r="P45" s="5"/>
      <c r="Q45" s="5"/>
      <c r="R45" s="5"/>
      <c r="S45" s="5"/>
      <c r="T45" s="5"/>
    </row>
    <row r="46" customFormat="false" ht="15" hidden="false" customHeight="true" outlineLevel="0" collapsed="false">
      <c r="A46" s="5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5"/>
      <c r="O46" s="5"/>
      <c r="P46" s="5"/>
      <c r="Q46" s="5"/>
      <c r="R46" s="5"/>
      <c r="S46" s="5"/>
      <c r="T46" s="5"/>
    </row>
    <row r="47" customFormat="false" ht="15" hidden="false" customHeight="true" outlineLevel="0" collapsed="false">
      <c r="A47" s="5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5"/>
      <c r="O47" s="5"/>
      <c r="P47" s="5"/>
      <c r="Q47" s="5"/>
      <c r="R47" s="5"/>
      <c r="S47" s="5"/>
      <c r="T47" s="5"/>
    </row>
    <row r="48" customFormat="false" ht="15" hidden="false" customHeight="true" outlineLevel="0" collapsed="false">
      <c r="A48" s="5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5"/>
      <c r="O48" s="5"/>
      <c r="P48" s="5"/>
      <c r="Q48" s="5"/>
      <c r="R48" s="5"/>
      <c r="S48" s="5"/>
      <c r="T48" s="5"/>
    </row>
    <row r="49" customFormat="false" ht="15" hidden="false" customHeight="true" outlineLevel="0" collapsed="false">
      <c r="A49" s="5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5"/>
      <c r="O49" s="5"/>
      <c r="P49" s="5"/>
      <c r="Q49" s="5"/>
      <c r="R49" s="5"/>
      <c r="S49" s="5"/>
      <c r="T49" s="5"/>
    </row>
    <row r="50" customFormat="false" ht="15" hidden="false" customHeight="true" outlineLevel="0" collapsed="false">
      <c r="A50" s="5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5"/>
      <c r="O50" s="5"/>
      <c r="P50" s="5"/>
      <c r="Q50" s="5"/>
      <c r="R50" s="5"/>
      <c r="S50" s="5"/>
      <c r="T50" s="5"/>
    </row>
    <row r="51" customFormat="false" ht="15" hidden="false" customHeight="true" outlineLevel="0" collapsed="false">
      <c r="A51" s="5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5"/>
      <c r="O51" s="5"/>
      <c r="P51" s="5"/>
      <c r="Q51" s="5"/>
      <c r="R51" s="5"/>
      <c r="S51" s="5"/>
      <c r="T51" s="5"/>
    </row>
    <row r="52" customFormat="false" ht="15" hidden="false" customHeight="true" outlineLevel="0" collapsed="false">
      <c r="A52" s="5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5"/>
      <c r="O52" s="5"/>
      <c r="P52" s="5"/>
      <c r="Q52" s="5"/>
      <c r="R52" s="5"/>
      <c r="S52" s="5"/>
      <c r="T52" s="5"/>
    </row>
    <row r="53" customFormat="false" ht="15" hidden="false" customHeight="true" outlineLevel="0" collapsed="false">
      <c r="A53" s="5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5"/>
      <c r="O53" s="5"/>
      <c r="P53" s="5"/>
      <c r="Q53" s="5"/>
      <c r="R53" s="5"/>
      <c r="S53" s="5"/>
      <c r="T53" s="5"/>
    </row>
    <row r="54" customFormat="false" ht="15" hidden="false" customHeight="true" outlineLevel="0" collapsed="false">
      <c r="A54" s="5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5"/>
      <c r="O54" s="5"/>
      <c r="P54" s="5"/>
      <c r="Q54" s="5"/>
      <c r="R54" s="5"/>
      <c r="S54" s="5"/>
      <c r="T54" s="5"/>
    </row>
    <row r="55" customFormat="false" ht="15" hidden="false" customHeight="true" outlineLevel="0" collapsed="false">
      <c r="A55" s="5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5"/>
      <c r="O55" s="5"/>
      <c r="P55" s="5"/>
      <c r="Q55" s="5"/>
      <c r="R55" s="5"/>
      <c r="S55" s="5"/>
      <c r="T55" s="5"/>
    </row>
    <row r="56" customFormat="false" ht="15" hidden="false" customHeight="true" outlineLevel="0" collapsed="false">
      <c r="A56" s="5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5"/>
      <c r="O56" s="5"/>
      <c r="P56" s="5"/>
      <c r="Q56" s="5"/>
      <c r="R56" s="5"/>
      <c r="S56" s="5"/>
      <c r="T56" s="5"/>
    </row>
    <row r="57" customFormat="false" ht="15" hidden="false" customHeight="true" outlineLevel="0" collapsed="false">
      <c r="A57" s="5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5"/>
      <c r="O57" s="5"/>
      <c r="P57" s="5"/>
      <c r="Q57" s="5"/>
      <c r="R57" s="5"/>
      <c r="S57" s="5"/>
      <c r="T57" s="5"/>
    </row>
    <row r="58" customFormat="false" ht="15" hidden="false" customHeight="true" outlineLevel="0" collapsed="false">
      <c r="A58" s="5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5"/>
      <c r="O58" s="5"/>
      <c r="P58" s="5"/>
      <c r="Q58" s="5"/>
      <c r="R58" s="5"/>
      <c r="S58" s="5"/>
      <c r="T58" s="5"/>
    </row>
    <row r="59" customFormat="false" ht="15" hidden="false" customHeight="true" outlineLevel="0" collapsed="false">
      <c r="A59" s="5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5"/>
      <c r="O59" s="5"/>
      <c r="P59" s="5"/>
      <c r="Q59" s="5"/>
      <c r="R59" s="5"/>
      <c r="S59" s="5"/>
      <c r="T59" s="5"/>
    </row>
    <row r="60" customFormat="false" ht="15" hidden="false" customHeight="true" outlineLevel="0" collapsed="false">
      <c r="A60" s="5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5"/>
      <c r="O60" s="5"/>
      <c r="P60" s="5"/>
      <c r="Q60" s="5"/>
      <c r="R60" s="5"/>
      <c r="S60" s="5"/>
      <c r="T60" s="5"/>
    </row>
    <row r="61" customFormat="false" ht="15" hidden="false" customHeight="true" outlineLevel="0" collapsed="false">
      <c r="A61" s="5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5"/>
      <c r="O61" s="5"/>
      <c r="P61" s="5"/>
      <c r="Q61" s="5"/>
      <c r="R61" s="5"/>
      <c r="S61" s="5"/>
      <c r="T61" s="5"/>
    </row>
    <row r="62" customFormat="false" ht="15" hidden="false" customHeight="true" outlineLevel="0" collapsed="false">
      <c r="A62" s="5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5"/>
      <c r="O62" s="5"/>
      <c r="P62" s="5"/>
      <c r="Q62" s="5"/>
      <c r="R62" s="5"/>
      <c r="S62" s="5"/>
      <c r="T62" s="5"/>
    </row>
    <row r="63" customFormat="false" ht="15" hidden="false" customHeight="true" outlineLevel="0" collapsed="false">
      <c r="A63" s="5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5"/>
      <c r="O63" s="5"/>
      <c r="P63" s="5"/>
      <c r="Q63" s="5"/>
      <c r="R63" s="5"/>
      <c r="S63" s="5"/>
      <c r="T63" s="5"/>
    </row>
    <row r="64" customFormat="false" ht="15" hidden="false" customHeight="true" outlineLevel="0" collapsed="false">
      <c r="A64" s="5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5"/>
      <c r="O64" s="5"/>
      <c r="P64" s="5"/>
      <c r="Q64" s="5"/>
      <c r="R64" s="5"/>
      <c r="S64" s="5"/>
      <c r="T64" s="5"/>
    </row>
    <row r="65" customFormat="false" ht="15" hidden="false" customHeight="true" outlineLevel="0" collapsed="false">
      <c r="A65" s="5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5"/>
      <c r="O65" s="5"/>
      <c r="P65" s="5"/>
      <c r="Q65" s="5"/>
      <c r="R65" s="5"/>
      <c r="S65" s="5"/>
      <c r="T65" s="5"/>
    </row>
    <row r="66" customFormat="false" ht="15" hidden="false" customHeight="true" outlineLevel="0" collapsed="false">
      <c r="A66" s="5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5"/>
      <c r="O66" s="5"/>
      <c r="P66" s="5"/>
      <c r="Q66" s="5"/>
      <c r="R66" s="5"/>
      <c r="S66" s="5"/>
      <c r="T66" s="5"/>
    </row>
    <row r="67" customFormat="false" ht="15" hidden="false" customHeight="true" outlineLevel="0" collapsed="false">
      <c r="A67" s="5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5"/>
      <c r="O67" s="5"/>
      <c r="P67" s="5"/>
      <c r="Q67" s="5"/>
      <c r="R67" s="5"/>
      <c r="S67" s="5"/>
      <c r="T67" s="5"/>
    </row>
    <row r="68" customFormat="false" ht="15" hidden="false" customHeight="true" outlineLevel="0" collapsed="false">
      <c r="A68" s="5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5"/>
      <c r="O68" s="5"/>
      <c r="P68" s="5"/>
      <c r="Q68" s="5"/>
      <c r="R68" s="5"/>
      <c r="S68" s="5"/>
      <c r="T68" s="5"/>
    </row>
    <row r="69" customFormat="false" ht="15" hidden="false" customHeight="true" outlineLevel="0" collapsed="false">
      <c r="A69" s="5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5"/>
      <c r="O69" s="5"/>
      <c r="P69" s="5"/>
      <c r="Q69" s="5"/>
      <c r="R69" s="5"/>
      <c r="S69" s="5"/>
      <c r="T69" s="5"/>
    </row>
    <row r="70" customFormat="false" ht="15" hidden="false" customHeight="true" outlineLevel="0" collapsed="false">
      <c r="A70" s="5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5"/>
      <c r="O70" s="5"/>
      <c r="P70" s="5"/>
      <c r="Q70" s="5"/>
      <c r="R70" s="5"/>
      <c r="S70" s="5"/>
      <c r="T70" s="5"/>
    </row>
    <row r="71" customFormat="false" ht="15" hidden="false" customHeight="true" outlineLevel="0" collapsed="false">
      <c r="A71" s="5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5"/>
      <c r="O71" s="5"/>
      <c r="P71" s="5"/>
      <c r="Q71" s="5"/>
      <c r="R71" s="5"/>
      <c r="S71" s="5"/>
      <c r="T71" s="5"/>
    </row>
    <row r="72" customFormat="false" ht="15" hidden="false" customHeight="true" outlineLevel="0" collapsed="false">
      <c r="A72" s="5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5"/>
      <c r="O72" s="5"/>
      <c r="P72" s="5"/>
      <c r="Q72" s="5"/>
      <c r="R72" s="5"/>
      <c r="S72" s="5"/>
      <c r="T72" s="5"/>
    </row>
    <row r="73" customFormat="false" ht="15" hidden="false" customHeight="true" outlineLevel="0" collapsed="false">
      <c r="A73" s="5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5"/>
      <c r="O73" s="5"/>
      <c r="P73" s="5"/>
      <c r="Q73" s="5"/>
      <c r="R73" s="5"/>
      <c r="S73" s="5"/>
      <c r="T73" s="5"/>
    </row>
    <row r="74" customFormat="false" ht="15" hidden="false" customHeight="true" outlineLevel="0" collapsed="false">
      <c r="A74" s="5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5"/>
      <c r="O74" s="5"/>
      <c r="P74" s="5"/>
      <c r="Q74" s="5"/>
      <c r="R74" s="5"/>
      <c r="S74" s="5"/>
      <c r="T74" s="5"/>
    </row>
    <row r="75" customFormat="false" ht="15" hidden="false" customHeight="true" outlineLevel="0" collapsed="false">
      <c r="A75" s="5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5"/>
      <c r="O75" s="5"/>
      <c r="P75" s="5"/>
      <c r="Q75" s="5"/>
      <c r="R75" s="5"/>
      <c r="S75" s="5"/>
      <c r="T75" s="5"/>
    </row>
    <row r="76" customFormat="false" ht="15" hidden="false" customHeight="true" outlineLevel="0" collapsed="false">
      <c r="A76" s="5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5"/>
      <c r="O76" s="5"/>
      <c r="P76" s="5"/>
      <c r="Q76" s="5"/>
      <c r="R76" s="5"/>
      <c r="S76" s="5"/>
      <c r="T76" s="5"/>
    </row>
    <row r="77" customFormat="false" ht="15" hidden="false" customHeight="true" outlineLevel="0" collapsed="false">
      <c r="A77" s="5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5"/>
      <c r="O77" s="5"/>
      <c r="P77" s="5"/>
      <c r="Q77" s="5"/>
      <c r="R77" s="5"/>
      <c r="S77" s="5"/>
      <c r="T77" s="5"/>
    </row>
    <row r="78" customFormat="false" ht="15" hidden="false" customHeight="true" outlineLevel="0" collapsed="false">
      <c r="A78" s="5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5"/>
      <c r="O78" s="5"/>
      <c r="P78" s="5"/>
      <c r="Q78" s="5"/>
      <c r="R78" s="5"/>
      <c r="S78" s="5"/>
      <c r="T78" s="5"/>
    </row>
    <row r="79" customFormat="false" ht="15" hidden="false" customHeight="true" outlineLevel="0" collapsed="false">
      <c r="A79" s="5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5"/>
      <c r="O79" s="5"/>
      <c r="P79" s="5"/>
      <c r="Q79" s="5"/>
      <c r="R79" s="5"/>
      <c r="S79" s="5"/>
      <c r="T79" s="5"/>
    </row>
    <row r="80" customFormat="false" ht="15" hidden="false" customHeight="true" outlineLevel="0" collapsed="false">
      <c r="A80" s="5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5"/>
      <c r="O80" s="5"/>
      <c r="P80" s="5"/>
      <c r="Q80" s="5"/>
      <c r="R80" s="5"/>
      <c r="S80" s="5"/>
      <c r="T80" s="5"/>
    </row>
    <row r="81" customFormat="false" ht="15" hidden="false" customHeight="true" outlineLevel="0" collapsed="false">
      <c r="A81" s="5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5"/>
      <c r="O81" s="5"/>
      <c r="P81" s="5"/>
      <c r="Q81" s="5"/>
      <c r="R81" s="5"/>
      <c r="S81" s="5"/>
      <c r="T81" s="5"/>
    </row>
    <row r="82" customFormat="false" ht="15" hidden="false" customHeight="true" outlineLevel="0" collapsed="false">
      <c r="A82" s="5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5"/>
      <c r="O82" s="5"/>
      <c r="P82" s="5"/>
      <c r="Q82" s="5"/>
      <c r="R82" s="5"/>
      <c r="S82" s="5"/>
      <c r="T82" s="5"/>
    </row>
    <row r="83" customFormat="false" ht="15" hidden="false" customHeight="true" outlineLevel="0" collapsed="false">
      <c r="A83" s="5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5"/>
      <c r="O83" s="5"/>
      <c r="P83" s="5"/>
      <c r="Q83" s="5"/>
      <c r="R83" s="5"/>
      <c r="S83" s="5"/>
      <c r="T83" s="5"/>
    </row>
    <row r="84" customFormat="false" ht="15" hidden="false" customHeight="true" outlineLevel="0" collapsed="false">
      <c r="A84" s="5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5"/>
      <c r="O84" s="5"/>
      <c r="P84" s="5"/>
      <c r="Q84" s="5"/>
      <c r="R84" s="5"/>
      <c r="S84" s="5"/>
      <c r="T84" s="5"/>
    </row>
    <row r="85" customFormat="false" ht="15" hidden="false" customHeight="true" outlineLevel="0" collapsed="false">
      <c r="A85" s="5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5"/>
      <c r="O85" s="5"/>
      <c r="P85" s="5"/>
      <c r="Q85" s="5"/>
      <c r="R85" s="5"/>
      <c r="S85" s="5"/>
      <c r="T85" s="5"/>
    </row>
    <row r="86" customFormat="false" ht="15" hidden="false" customHeight="true" outlineLevel="0" collapsed="false">
      <c r="A86" s="5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5"/>
      <c r="O86" s="5"/>
      <c r="P86" s="5"/>
      <c r="Q86" s="5"/>
      <c r="R86" s="5"/>
      <c r="S86" s="5"/>
      <c r="T86" s="5"/>
    </row>
    <row r="87" customFormat="false" ht="15" hidden="false" customHeight="true" outlineLevel="0" collapsed="false">
      <c r="A87" s="5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5"/>
      <c r="O87" s="5"/>
      <c r="P87" s="5"/>
      <c r="Q87" s="5"/>
      <c r="R87" s="5"/>
      <c r="S87" s="5"/>
      <c r="T87" s="5"/>
    </row>
    <row r="88" customFormat="false" ht="15" hidden="false" customHeight="true" outlineLevel="0" collapsed="false">
      <c r="A88" s="5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5"/>
      <c r="O88" s="5"/>
      <c r="P88" s="5"/>
      <c r="Q88" s="5"/>
      <c r="R88" s="5"/>
      <c r="S88" s="5"/>
      <c r="T88" s="5"/>
    </row>
    <row r="89" customFormat="false" ht="15" hidden="false" customHeight="true" outlineLevel="0" collapsed="false">
      <c r="A89" s="5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5"/>
      <c r="O89" s="5"/>
      <c r="P89" s="5"/>
      <c r="Q89" s="5"/>
      <c r="R89" s="5"/>
      <c r="S89" s="5"/>
      <c r="T89" s="5"/>
    </row>
    <row r="90" customFormat="false" ht="15" hidden="false" customHeight="true" outlineLevel="0" collapsed="false">
      <c r="A90" s="5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5"/>
      <c r="O90" s="5"/>
      <c r="P90" s="5"/>
      <c r="Q90" s="5"/>
      <c r="R90" s="5"/>
      <c r="S90" s="5"/>
      <c r="T90" s="5"/>
    </row>
    <row r="91" customFormat="false" ht="15" hidden="false" customHeight="true" outlineLevel="0" collapsed="false">
      <c r="A91" s="5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5"/>
      <c r="O91" s="5"/>
      <c r="P91" s="5"/>
      <c r="Q91" s="5"/>
      <c r="R91" s="5"/>
      <c r="S91" s="5"/>
      <c r="T91" s="5"/>
    </row>
    <row r="92" customFormat="false" ht="15" hidden="false" customHeight="true" outlineLevel="0" collapsed="false">
      <c r="A92" s="5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5"/>
      <c r="O92" s="5"/>
      <c r="P92" s="5"/>
      <c r="Q92" s="5"/>
      <c r="R92" s="5"/>
      <c r="S92" s="5"/>
      <c r="T92" s="5"/>
    </row>
    <row r="93" customFormat="false" ht="15" hidden="false" customHeight="true" outlineLevel="0" collapsed="false">
      <c r="A93" s="5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5"/>
      <c r="O93" s="5"/>
      <c r="P93" s="5"/>
      <c r="Q93" s="5"/>
      <c r="R93" s="5"/>
      <c r="S93" s="5"/>
      <c r="T93" s="5"/>
    </row>
    <row r="94" customFormat="false" ht="15" hidden="false" customHeight="true" outlineLevel="0" collapsed="false">
      <c r="A94" s="5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5"/>
      <c r="O94" s="5"/>
      <c r="P94" s="5"/>
      <c r="Q94" s="5"/>
      <c r="R94" s="5"/>
      <c r="S94" s="5"/>
      <c r="T94" s="5"/>
    </row>
    <row r="95" customFormat="false" ht="15" hidden="false" customHeight="true" outlineLevel="0" collapsed="false">
      <c r="A95" s="5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5"/>
      <c r="O95" s="5"/>
      <c r="P95" s="5"/>
      <c r="Q95" s="5"/>
      <c r="R95" s="5"/>
      <c r="S95" s="5"/>
      <c r="T95" s="5"/>
    </row>
    <row r="96" customFormat="false" ht="15" hidden="false" customHeight="true" outlineLevel="0" collapsed="false">
      <c r="A96" s="5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5"/>
      <c r="O96" s="5"/>
      <c r="P96" s="5"/>
      <c r="Q96" s="5"/>
      <c r="R96" s="5"/>
      <c r="S96" s="5"/>
      <c r="T96" s="5"/>
    </row>
    <row r="97" customFormat="false" ht="15" hidden="false" customHeight="true" outlineLevel="0" collapsed="false">
      <c r="A97" s="5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5"/>
      <c r="O97" s="5"/>
      <c r="P97" s="5"/>
      <c r="Q97" s="5"/>
      <c r="R97" s="5"/>
      <c r="S97" s="5"/>
      <c r="T97" s="5"/>
    </row>
    <row r="98" customFormat="false" ht="15" hidden="false" customHeight="true" outlineLevel="0" collapsed="false">
      <c r="A98" s="5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5"/>
      <c r="O98" s="5"/>
      <c r="P98" s="5"/>
      <c r="Q98" s="5"/>
      <c r="R98" s="5"/>
      <c r="S98" s="5"/>
      <c r="T98" s="5"/>
    </row>
    <row r="99" customFormat="false" ht="15" hidden="false" customHeight="true" outlineLevel="0" collapsed="false">
      <c r="A99" s="5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5"/>
      <c r="O99" s="5"/>
      <c r="P99" s="5"/>
      <c r="Q99" s="5"/>
      <c r="R99" s="5"/>
      <c r="S99" s="5"/>
      <c r="T99" s="5"/>
    </row>
    <row r="100" customFormat="false" ht="15" hidden="false" customHeight="true" outlineLevel="0" collapsed="false">
      <c r="A100" s="5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5"/>
      <c r="O100" s="5"/>
      <c r="P100" s="5"/>
      <c r="Q100" s="5"/>
      <c r="R100" s="5"/>
      <c r="S100" s="5"/>
      <c r="T100" s="5"/>
    </row>
    <row r="101" customFormat="false" ht="15" hidden="false" customHeight="true" outlineLevel="0" collapsed="false">
      <c r="A101" s="5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5"/>
      <c r="O101" s="5"/>
      <c r="P101" s="5"/>
      <c r="Q101" s="5"/>
      <c r="R101" s="5"/>
      <c r="S101" s="5"/>
      <c r="T101" s="5"/>
    </row>
    <row r="102" customFormat="false" ht="15" hidden="false" customHeight="true" outlineLevel="0" collapsed="false">
      <c r="A102" s="5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5"/>
      <c r="O102" s="5"/>
      <c r="P102" s="5"/>
      <c r="Q102" s="5"/>
      <c r="R102" s="5"/>
      <c r="S102" s="5"/>
      <c r="T102" s="5"/>
    </row>
    <row r="103" customFormat="false" ht="15" hidden="false" customHeight="true" outlineLevel="0" collapsed="false">
      <c r="A103" s="5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5"/>
      <c r="O103" s="5"/>
      <c r="P103" s="5"/>
      <c r="Q103" s="5"/>
      <c r="R103" s="5"/>
      <c r="S103" s="5"/>
      <c r="T103" s="5"/>
    </row>
    <row r="104" customFormat="false" ht="15" hidden="false" customHeight="true" outlineLevel="0" collapsed="false">
      <c r="A104" s="5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5"/>
      <c r="O104" s="5"/>
      <c r="P104" s="5"/>
      <c r="Q104" s="5"/>
      <c r="R104" s="5"/>
      <c r="S104" s="5"/>
      <c r="T104" s="5"/>
    </row>
    <row r="105" customFormat="false" ht="15" hidden="false" customHeight="true" outlineLevel="0" collapsed="false">
      <c r="A105" s="5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5"/>
      <c r="O105" s="5"/>
      <c r="P105" s="5"/>
      <c r="Q105" s="5"/>
      <c r="R105" s="5"/>
      <c r="S105" s="5"/>
      <c r="T105" s="5"/>
    </row>
    <row r="106" customFormat="false" ht="15" hidden="false" customHeight="true" outlineLevel="0" collapsed="false">
      <c r="A106" s="5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5"/>
      <c r="O106" s="5"/>
      <c r="P106" s="5"/>
      <c r="Q106" s="5"/>
      <c r="R106" s="5"/>
      <c r="S106" s="5"/>
      <c r="T106" s="5"/>
    </row>
    <row r="107" customFormat="false" ht="15" hidden="false" customHeight="true" outlineLevel="0" collapsed="false">
      <c r="A107" s="5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5"/>
      <c r="O107" s="5"/>
      <c r="P107" s="5"/>
      <c r="Q107" s="5"/>
      <c r="R107" s="5"/>
      <c r="S107" s="5"/>
      <c r="T107" s="5"/>
    </row>
    <row r="108" customFormat="false" ht="15" hidden="false" customHeight="true" outlineLevel="0" collapsed="false">
      <c r="A108" s="5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5"/>
      <c r="O108" s="5"/>
      <c r="P108" s="5"/>
      <c r="Q108" s="5"/>
      <c r="R108" s="5"/>
      <c r="S108" s="5"/>
      <c r="T108" s="5"/>
    </row>
    <row r="109" customFormat="false" ht="1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customFormat="false" ht="1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customFormat="false" ht="1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customFormat="false" ht="1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customFormat="false" ht="1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customFormat="false" ht="1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customFormat="false" ht="1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customFormat="false" ht="1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customFormat="false" ht="1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customFormat="false" ht="1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customFormat="false" ht="1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customFormat="false" ht="15" hidden="false" customHeight="true" outlineLevel="0" collapsed="false">
      <c r="A120" s="5"/>
      <c r="B120" s="32" t="s">
        <v>213</v>
      </c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5"/>
      <c r="O120" s="5"/>
      <c r="P120" s="5"/>
      <c r="Q120" s="5"/>
      <c r="R120" s="5"/>
      <c r="S120" s="5"/>
      <c r="T120" s="5"/>
    </row>
    <row r="121" customFormat="false" ht="15" hidden="false" customHeight="true" outlineLevel="0" collapsed="false">
      <c r="A121" s="5"/>
      <c r="B121" s="116" t="s">
        <v>214</v>
      </c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5"/>
      <c r="O121" s="5"/>
      <c r="P121" s="5"/>
      <c r="Q121" s="5"/>
      <c r="R121" s="5"/>
      <c r="S121" s="5"/>
      <c r="T121" s="5"/>
    </row>
    <row r="122" customFormat="false" ht="15" hidden="false" customHeight="true" outlineLevel="0" collapsed="false">
      <c r="A122" s="5"/>
      <c r="B122" s="22" t="s">
        <v>215</v>
      </c>
      <c r="C122" s="22" t="s">
        <v>68</v>
      </c>
      <c r="D122" s="22" t="s">
        <v>169</v>
      </c>
      <c r="E122" s="22" t="s">
        <v>216</v>
      </c>
      <c r="F122" s="22" t="s">
        <v>217</v>
      </c>
      <c r="G122" s="22" t="s">
        <v>218</v>
      </c>
      <c r="H122" s="22" t="s">
        <v>219</v>
      </c>
      <c r="I122" s="22" t="s">
        <v>220</v>
      </c>
      <c r="J122" s="22" t="s">
        <v>221</v>
      </c>
      <c r="K122" s="22" t="s">
        <v>222</v>
      </c>
      <c r="L122" s="5"/>
      <c r="M122" s="5"/>
      <c r="N122" s="5"/>
      <c r="O122" s="5"/>
      <c r="P122" s="5"/>
      <c r="Q122" s="5"/>
      <c r="R122" s="5"/>
      <c r="S122" s="5"/>
      <c r="T122" s="5"/>
    </row>
    <row r="123" customFormat="false" ht="15" hidden="false" customHeight="true" outlineLevel="0" collapsed="false">
      <c r="A123" s="5"/>
      <c r="B123" s="23" t="s">
        <v>176</v>
      </c>
      <c r="C123" s="129" t="s">
        <v>80</v>
      </c>
      <c r="D123" s="130" t="n">
        <v>85000</v>
      </c>
      <c r="E123" s="94" t="n">
        <v>0.048</v>
      </c>
      <c r="F123" s="131" t="n">
        <f aca="false">IF(D123*E123&gt;0,D123*E123,"")</f>
        <v>4080</v>
      </c>
      <c r="G123" s="80" t="n">
        <f aca="false">IF(C123="Instagram",120,IF(C123="TikTok",80,IF(C123="YouTube",200,IF(C123="Facebook",60,100))))</f>
        <v>120</v>
      </c>
      <c r="H123" s="111" t="n">
        <f aca="false">IF(D123&gt;0,ROUND((D123/1000)*G123*(1+E123*5),0),"")</f>
        <v>12648</v>
      </c>
      <c r="I123" s="47" t="n">
        <f aca="false">IF(H123&gt;0,ROUND(H123*1.2,0),"")</f>
        <v>15178</v>
      </c>
      <c r="J123" s="110" t="str">
        <f aca="false">IF(D123="","",IF(D123&gt;=1000000,"🌟 Macro",IF(D123&gt;=100000,"⭐ Mid-tier",IF(D123&gt;=10000,"✨ Micro","🔸 Nano"))))</f>
        <v>✨ Micro</v>
      </c>
      <c r="K123" s="132" t="str">
        <f aca="false">IF(D123="","",IF(E123&gt;=0.06,"💚 Alto engagement - Priorizar",IF(E123&gt;=0.03,"💛 Engagement promedio",IF(D123&gt;=0,"🔴 Bajo engagement - Negociar precio",""))))</f>
        <v>💛 Engagement promedio</v>
      </c>
      <c r="L123" s="5"/>
      <c r="M123" s="5"/>
      <c r="N123" s="5"/>
      <c r="O123" s="5"/>
      <c r="P123" s="5"/>
      <c r="Q123" s="5"/>
      <c r="R123" s="5"/>
      <c r="S123" s="5"/>
      <c r="T123" s="5"/>
    </row>
    <row r="124" customFormat="false" ht="15" hidden="false" customHeight="true" outlineLevel="0" collapsed="false">
      <c r="A124" s="5"/>
      <c r="B124" s="27" t="s">
        <v>189</v>
      </c>
      <c r="C124" s="133" t="s">
        <v>96</v>
      </c>
      <c r="D124" s="134" t="n">
        <v>45000</v>
      </c>
      <c r="E124" s="87" t="n">
        <v>0.084</v>
      </c>
      <c r="F124" s="135" t="n">
        <f aca="false">IF(D124*E124&gt;0,D124*E124,"")</f>
        <v>3780</v>
      </c>
      <c r="G124" s="82" t="n">
        <f aca="false">IF(C124="Instagram",120,IF(C124="TikTok",80,IF(C124="YouTube",200,IF(C124="Facebook",60,100))))</f>
        <v>80</v>
      </c>
      <c r="H124" s="114" t="n">
        <f aca="false">IF(D124&gt;0,ROUND((D124/1000)*G124*(1+E124*5),0),"")</f>
        <v>5112</v>
      </c>
      <c r="I124" s="50" t="n">
        <f aca="false">IF(H124&gt;0,ROUND(H124*1.2,0),"")</f>
        <v>6134</v>
      </c>
      <c r="J124" s="113" t="str">
        <f aca="false">IF(D124="","",IF(D124&gt;=1000000,"🌟 Macro",IF(D124&gt;=100000,"⭐ Mid-tier",IF(D124&gt;=10000,"✨ Micro","🔸 Nano"))))</f>
        <v>✨ Micro</v>
      </c>
      <c r="K124" s="136" t="str">
        <f aca="false">IF(D124="","",IF(E124&gt;=0.06,"💚 Alto engagement - Priorizar",IF(E124&gt;=0.03,"💛 Engagement promedio",IF(D124&gt;=0,"🔴 Bajo engagement - Negociar precio",""))))</f>
        <v>💚 Alto engagement - Priorizar</v>
      </c>
      <c r="L124" s="5"/>
      <c r="M124" s="5"/>
      <c r="N124" s="5"/>
      <c r="O124" s="5"/>
      <c r="P124" s="5"/>
      <c r="Q124" s="5"/>
      <c r="R124" s="5"/>
      <c r="S124" s="5"/>
      <c r="T124" s="5"/>
    </row>
    <row r="125" customFormat="false" ht="15" hidden="false" customHeight="true" outlineLevel="0" collapsed="false">
      <c r="A125" s="5"/>
      <c r="B125" s="23" t="s">
        <v>202</v>
      </c>
      <c r="C125" s="129" t="s">
        <v>80</v>
      </c>
      <c r="D125" s="130" t="n">
        <v>210000</v>
      </c>
      <c r="E125" s="94" t="n">
        <v>0.032</v>
      </c>
      <c r="F125" s="131" t="n">
        <f aca="false">IF(D125*E125&gt;0,D125*E125,"")</f>
        <v>6720</v>
      </c>
      <c r="G125" s="80" t="n">
        <f aca="false">IF(C125="Instagram",120,IF(C125="TikTok",80,IF(C125="YouTube",200,IF(C125="Facebook",60,100))))</f>
        <v>120</v>
      </c>
      <c r="H125" s="111" t="n">
        <f aca="false">IF(D125&gt;0,ROUND((D125/1000)*G125*(1+E125*5),0),"")</f>
        <v>29232</v>
      </c>
      <c r="I125" s="47" t="n">
        <f aca="false">IF(H125&gt;0,ROUND(H125*1.2,0),"")</f>
        <v>35078</v>
      </c>
      <c r="J125" s="110" t="str">
        <f aca="false">IF(D125="","",IF(D125&gt;=1000000,"🌟 Macro",IF(D125&gt;=100000,"⭐ Mid-tier",IF(D125&gt;=10000,"✨ Micro","🔸 Nano"))))</f>
        <v>⭐ Mid-tier</v>
      </c>
      <c r="K125" s="132" t="str">
        <f aca="false">IF(D125="","",IF(E125&gt;=0.06,"💚 Alto engagement - Priorizar",IF(E125&gt;=0.03,"💛 Engagement promedio",IF(D125&gt;=0,"🔴 Bajo engagement - Negociar precio",""))))</f>
        <v>💛 Engagement promedio</v>
      </c>
      <c r="L125" s="5"/>
      <c r="M125" s="5"/>
      <c r="N125" s="5"/>
      <c r="O125" s="5"/>
      <c r="P125" s="5"/>
      <c r="Q125" s="5"/>
      <c r="R125" s="5"/>
      <c r="S125" s="5"/>
      <c r="T125" s="5"/>
    </row>
    <row r="126" customFormat="false" ht="15" hidden="false" customHeight="true" outlineLevel="0" collapsed="false">
      <c r="A126" s="5"/>
      <c r="B126" s="27" t="s">
        <v>223</v>
      </c>
      <c r="C126" s="133" t="s">
        <v>224</v>
      </c>
      <c r="D126" s="134" t="n">
        <v>28000</v>
      </c>
      <c r="E126" s="87" t="n">
        <v>0.065</v>
      </c>
      <c r="F126" s="135" t="n">
        <f aca="false">IF(D126*E126&gt;0,D126*E126,"")</f>
        <v>1820</v>
      </c>
      <c r="G126" s="82" t="n">
        <f aca="false">IF(C126="Instagram",120,IF(C126="TikTok",80,IF(C126="YouTube",200,IF(C126="Facebook",60,100))))</f>
        <v>200</v>
      </c>
      <c r="H126" s="114" t="n">
        <f aca="false">IF(D126&gt;0,ROUND((D126/1000)*G126*(1+E126*5),0),"")</f>
        <v>7420</v>
      </c>
      <c r="I126" s="50" t="n">
        <f aca="false">IF(H126&gt;0,ROUND(H126*1.2,0),"")</f>
        <v>8904</v>
      </c>
      <c r="J126" s="113" t="str">
        <f aca="false">IF(D126="","",IF(D126&gt;=1000000,"🌟 Macro",IF(D126&gt;=100000,"⭐ Mid-tier",IF(D126&gt;=10000,"✨ Micro","🔸 Nano"))))</f>
        <v>✨ Micro</v>
      </c>
      <c r="K126" s="136" t="str">
        <f aca="false">IF(D126="","",IF(E126&gt;=0.06,"💚 Alto engagement - Priorizar",IF(E126&gt;=0.03,"💛 Engagement promedio",IF(D126&gt;=0,"🔴 Bajo engagement - Negociar precio",""))))</f>
        <v>💚 Alto engagement - Priorizar</v>
      </c>
      <c r="L126" s="5"/>
      <c r="M126" s="5"/>
      <c r="N126" s="5"/>
      <c r="O126" s="5"/>
      <c r="P126" s="5"/>
      <c r="Q126" s="5"/>
      <c r="R126" s="5"/>
      <c r="S126" s="5"/>
      <c r="T126" s="5"/>
    </row>
    <row r="127" customFormat="false" ht="15" hidden="false" customHeight="true" outlineLevel="0" collapsed="false">
      <c r="A127" s="5"/>
      <c r="B127" s="23"/>
      <c r="C127" s="129" t="s">
        <v>80</v>
      </c>
      <c r="D127" s="130"/>
      <c r="E127" s="94"/>
      <c r="F127" s="131" t="str">
        <f aca="false">IF(D127*E127&gt;0,D127*E127,"")</f>
        <v/>
      </c>
      <c r="G127" s="80" t="n">
        <f aca="false">IF(C127="Instagram",120,IF(C127="TikTok",80,IF(C127="YouTube",200,IF(C127="Facebook",60,100))))</f>
        <v>120</v>
      </c>
      <c r="H127" s="111" t="str">
        <f aca="false">IF(ISNUMBER(D127),ROUND((D127/1000)*G127*(1+IF(ISNUMBER(E127),E127,0)*5),0),"")</f>
        <v/>
      </c>
      <c r="I127" s="47" t="str">
        <f aca="false">IF(ISNUMBER(H127),ROUND(H127*1.2,0),"")</f>
        <v/>
      </c>
      <c r="J127" s="110" t="str">
        <f aca="false">IF(D127="","",IF(D127&gt;=1000000,"🌟 Macro",IF(D127&gt;=100000,"⭐ Mid-tier",IF(D127&gt;=10000,"✨ Micro","🔸 Nano"))))</f>
        <v/>
      </c>
      <c r="K127" s="132" t="str">
        <f aca="false">IF(OR(D127="",D127=0),"",IF(E127&gt;=0.06,"💚 Alto eng. - Priorizar",IF(E127&gt;=0.03,"💛 Promedio - OK","🔴 Bajo eng.")))</f>
        <v/>
      </c>
      <c r="L127" s="5"/>
      <c r="M127" s="5"/>
      <c r="N127" s="5"/>
      <c r="O127" s="5"/>
      <c r="P127" s="5"/>
      <c r="Q127" s="5"/>
      <c r="R127" s="5"/>
      <c r="S127" s="5"/>
      <c r="T127" s="5"/>
    </row>
    <row r="128" customFormat="false" ht="15" hidden="false" customHeight="true" outlineLevel="0" collapsed="false">
      <c r="A128" s="5"/>
      <c r="B128" s="27"/>
      <c r="C128" s="133" t="s">
        <v>96</v>
      </c>
      <c r="D128" s="134"/>
      <c r="E128" s="87"/>
      <c r="F128" s="135" t="str">
        <f aca="false">IF(D128*E128&gt;0,D128*E128,"")</f>
        <v/>
      </c>
      <c r="G128" s="82" t="n">
        <f aca="false">IF(C128="Instagram",120,IF(C128="TikTok",80,IF(C128="YouTube",200,IF(C128="Facebook",60,100))))</f>
        <v>80</v>
      </c>
      <c r="H128" s="114" t="str">
        <f aca="false">IF(ISNUMBER(D128),ROUND((D128/1000)*G128*(1+IF(ISNUMBER(E128),E128,0)*5),0),"")</f>
        <v/>
      </c>
      <c r="I128" s="50" t="str">
        <f aca="false">IF(ISNUMBER(H128),ROUND(H128*1.2,0),"")</f>
        <v/>
      </c>
      <c r="J128" s="113" t="str">
        <f aca="false">IF(D128="","",IF(D128&gt;=1000000,"🌟 Macro",IF(D128&gt;=100000,"⭐ Mid-tier",IF(D128&gt;=10000,"✨ Micro","🔸 Nano"))))</f>
        <v/>
      </c>
      <c r="K128" s="136" t="str">
        <f aca="false">IF(OR(D128="",D128=0),"",IF(E128&gt;=0.06,"💚 Alto eng. - Priorizar",IF(E128&gt;=0.03,"💛 Promedio - OK","🔴 Bajo eng.")))</f>
        <v/>
      </c>
      <c r="L128" s="5"/>
      <c r="M128" s="5"/>
      <c r="N128" s="5"/>
      <c r="O128" s="5"/>
      <c r="P128" s="5"/>
      <c r="Q128" s="5"/>
      <c r="R128" s="5"/>
      <c r="S128" s="5"/>
      <c r="T128" s="5"/>
    </row>
    <row r="129" customFormat="false" ht="1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customFormat="false" ht="1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customFormat="false" ht="1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customFormat="false" ht="1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customFormat="false" ht="1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customFormat="false" ht="1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customFormat="false" ht="1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customFormat="false" ht="1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customFormat="false" ht="1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customFormat="false" ht="1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customFormat="false" ht="1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customFormat="false" ht="1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customFormat="false" ht="1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customFormat="false" ht="1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customFormat="false" ht="1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customFormat="false" ht="1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customFormat="false" ht="1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customFormat="false" ht="1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customFormat="false" ht="1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customFormat="false" ht="1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customFormat="false" ht="1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customFormat="false" ht="1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customFormat="false" ht="1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customFormat="false" ht="1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customFormat="false" ht="1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customFormat="false" ht="1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customFormat="false" ht="1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customFormat="false" ht="1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customFormat="false" ht="1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customFormat="false" ht="1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customFormat="false" ht="1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customFormat="false" ht="1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customFormat="false" ht="1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customFormat="false" ht="1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customFormat="false" ht="1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customFormat="false" ht="1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customFormat="false" ht="1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customFormat="false" ht="1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customFormat="false" ht="1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customFormat="false" ht="1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customFormat="false" ht="1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customFormat="false" ht="1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customFormat="false" ht="1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customFormat="false" ht="1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customFormat="false" ht="1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customFormat="false" ht="1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customFormat="false" ht="1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customFormat="false" ht="1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customFormat="false" ht="1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customFormat="false" ht="1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customFormat="false" ht="1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customFormat="false" ht="1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customFormat="false" ht="1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customFormat="false" ht="1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customFormat="false" ht="1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customFormat="false" ht="1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customFormat="false" ht="1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customFormat="false" ht="1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customFormat="false" ht="1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customFormat="false" ht="1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customFormat="false" ht="1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customFormat="false" ht="1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customFormat="false" ht="1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customFormat="false" ht="1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customFormat="false" ht="1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customFormat="false" ht="1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customFormat="false" ht="1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customFormat="false" ht="1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customFormat="false" ht="1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customFormat="false" ht="1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customFormat="false" ht="1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customFormat="false" ht="1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</sheetData>
  <mergeCells count="4">
    <mergeCell ref="B2:N2"/>
    <mergeCell ref="B4:H4"/>
    <mergeCell ref="B120:M120"/>
    <mergeCell ref="B121:M121"/>
  </mergeCells>
  <dataValidations count="4">
    <dataValidation allowBlank="true" errorStyle="stop" operator="between" showDropDown="false" showErrorMessage="false" showInputMessage="false" sqref="C9:C108" type="list">
      <formula1>"Influencer,Creador de contenido,Marca,Proveedor,Aliado estratégico,Media,Otro"</formula1>
      <formula2>0</formula2>
    </dataValidation>
    <dataValidation allowBlank="true" errorStyle="stop" operator="between" showDropDown="false" showErrorMessage="false" showInputMessage="false" sqref="G9:G108" type="list">
      <formula1>"Prospecto,Contactado,En negociación,Activo,Completado,Cerrado,En pausa"</formula1>
      <formula2>0</formula2>
    </dataValidation>
    <dataValidation allowBlank="true" errorStyle="stop" operator="between" showDropDown="false" showErrorMessage="false" showInputMessage="false" sqref="H9:H108" type="list">
      <formula1>"Alta,Media,Baja"</formula1>
      <formula2>0</formula2>
    </dataValidation>
    <dataValidation allowBlank="true" errorStyle="stop" operator="between" showDropDown="false" showErrorMessage="false" showInputMessage="false" sqref="I9:I108" type="list">
      <formula1>"Canje,Pago,Barter,Co-producción,Mención,Embajador,Por definir"</formula1>
      <formula2>0</formula2>
    </dataValidation>
  </dataValidations>
  <hyperlinks>
    <hyperlink ref="B1" r:id="rId1" location="📊%20Dashboard!A1" display="📊 Dashboard"/>
    <hyperlink ref="D1" r:id="rId2" location="📅%20Calendario!A1" display="📅 Calendario"/>
    <hyperlink ref="F1" r:id="rId3" location="💰%20Finanzas!A1" display="💰 Finanzas"/>
    <hyperlink ref="J1" r:id="rId4" location="🏢%20Clientes!A1" display="🏢 Clientes"/>
    <hyperlink ref="L1" r:id="rId5" location="📈%20Métricas!A1" display="📈 Métrica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R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8" min="7" style="1" width="14"/>
    <col collapsed="false" customWidth="true" hidden="false" outlineLevel="0" max="10" min="9" style="1" width="16"/>
    <col collapsed="false" customWidth="true" hidden="false" outlineLevel="0" max="11" min="11" style="1" width="18"/>
    <col collapsed="false" customWidth="true" hidden="false" outlineLevel="0" max="12" min="12" style="1" width="15"/>
  </cols>
  <sheetData>
    <row r="1" customFormat="false" ht="21.75" hidden="false" customHeight="true" outlineLevel="0" collapsed="false">
      <c r="A1" s="2"/>
      <c r="B1" s="4" t="s">
        <v>0</v>
      </c>
      <c r="C1" s="2"/>
      <c r="D1" s="4" t="s">
        <v>1</v>
      </c>
      <c r="E1" s="2"/>
      <c r="F1" s="4" t="s">
        <v>2</v>
      </c>
      <c r="G1" s="2"/>
      <c r="H1" s="4" t="s">
        <v>3</v>
      </c>
      <c r="I1" s="2"/>
      <c r="J1" s="3" t="s">
        <v>4</v>
      </c>
      <c r="K1" s="2"/>
      <c r="L1" s="4" t="s">
        <v>5</v>
      </c>
      <c r="M1" s="2"/>
      <c r="N1" s="2"/>
      <c r="O1" s="2"/>
      <c r="P1" s="5"/>
      <c r="Q1" s="5"/>
      <c r="R1" s="5"/>
    </row>
    <row r="2" customFormat="false" ht="19.5" hidden="false" customHeight="true" outlineLevel="0" collapsed="false">
      <c r="A2" s="6"/>
      <c r="B2" s="64" t="s">
        <v>225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5"/>
      <c r="N2" s="5"/>
      <c r="O2" s="5"/>
      <c r="P2" s="5"/>
      <c r="Q2" s="5"/>
      <c r="R2" s="5"/>
    </row>
    <row r="3" customFormat="false" ht="15.75" hidden="false" customHeight="true" outlineLevel="0" collapsed="false">
      <c r="A3" s="6"/>
      <c r="B3" s="21" t="s">
        <v>226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5"/>
      <c r="N3" s="5"/>
      <c r="O3" s="5"/>
      <c r="P3" s="5"/>
      <c r="Q3" s="5"/>
      <c r="R3" s="5"/>
    </row>
    <row r="4" customFormat="false" ht="15" hidden="false" customHeight="true" outlineLevel="0" collapsed="false">
      <c r="A4" s="5"/>
      <c r="B4" s="22" t="s">
        <v>227</v>
      </c>
      <c r="C4" s="22" t="s">
        <v>228</v>
      </c>
      <c r="D4" s="22" t="s">
        <v>229</v>
      </c>
      <c r="E4" s="22" t="s">
        <v>230</v>
      </c>
      <c r="F4" s="22" t="s">
        <v>231</v>
      </c>
      <c r="G4" s="22" t="s">
        <v>18</v>
      </c>
      <c r="H4" s="22" t="s">
        <v>232</v>
      </c>
      <c r="I4" s="22" t="s">
        <v>233</v>
      </c>
      <c r="J4" s="22" t="s">
        <v>234</v>
      </c>
      <c r="K4" s="22" t="s">
        <v>22</v>
      </c>
      <c r="L4" s="22" t="s">
        <v>235</v>
      </c>
      <c r="M4" s="5"/>
      <c r="N4" s="5"/>
      <c r="O4" s="5"/>
      <c r="P4" s="5"/>
      <c r="Q4" s="5"/>
      <c r="R4" s="5"/>
    </row>
    <row r="5" customFormat="false" ht="15" hidden="false" customHeight="true" outlineLevel="0" collapsed="false">
      <c r="A5" s="5"/>
      <c r="B5" s="23" t="s">
        <v>23</v>
      </c>
      <c r="C5" s="23" t="s">
        <v>236</v>
      </c>
      <c r="D5" s="23" t="s">
        <v>237</v>
      </c>
      <c r="E5" s="23" t="s">
        <v>238</v>
      </c>
      <c r="F5" s="23" t="s">
        <v>239</v>
      </c>
      <c r="G5" s="23" t="s">
        <v>240</v>
      </c>
      <c r="H5" s="24" t="n">
        <v>15000</v>
      </c>
      <c r="I5" s="66" t="n">
        <v>45901</v>
      </c>
      <c r="J5" s="66" t="n">
        <v>46266</v>
      </c>
      <c r="K5" s="26" t="s">
        <v>25</v>
      </c>
      <c r="L5" s="137" t="str">
        <f aca="false">REPT("★",5)</f>
        <v>★★★★★</v>
      </c>
      <c r="M5" s="5"/>
      <c r="N5" s="5"/>
      <c r="O5" s="5"/>
      <c r="P5" s="5"/>
      <c r="Q5" s="5"/>
      <c r="R5" s="5"/>
    </row>
    <row r="6" customFormat="false" ht="15" hidden="false" customHeight="true" outlineLevel="0" collapsed="false">
      <c r="A6" s="5"/>
      <c r="B6" s="27" t="s">
        <v>26</v>
      </c>
      <c r="C6" s="27" t="s">
        <v>241</v>
      </c>
      <c r="D6" s="27" t="s">
        <v>242</v>
      </c>
      <c r="E6" s="27" t="s">
        <v>243</v>
      </c>
      <c r="F6" s="27" t="s">
        <v>244</v>
      </c>
      <c r="G6" s="27" t="s">
        <v>245</v>
      </c>
      <c r="H6" s="28" t="n">
        <v>8000</v>
      </c>
      <c r="I6" s="69" t="n">
        <v>45962</v>
      </c>
      <c r="J6" s="69" t="n">
        <v>46327</v>
      </c>
      <c r="K6" s="30" t="s">
        <v>25</v>
      </c>
      <c r="L6" s="138" t="str">
        <f aca="false">REPT("★",5)</f>
        <v>★★★★★</v>
      </c>
      <c r="M6" s="5"/>
      <c r="N6" s="5"/>
      <c r="O6" s="5"/>
      <c r="P6" s="5"/>
      <c r="Q6" s="5"/>
      <c r="R6" s="5"/>
    </row>
    <row r="7" customFormat="false" ht="15" hidden="false" customHeight="true" outlineLevel="0" collapsed="false">
      <c r="A7" s="5"/>
      <c r="B7" s="23" t="s">
        <v>28</v>
      </c>
      <c r="C7" s="23" t="s">
        <v>246</v>
      </c>
      <c r="D7" s="23" t="s">
        <v>247</v>
      </c>
      <c r="E7" s="23" t="s">
        <v>248</v>
      </c>
      <c r="F7" s="23" t="s">
        <v>249</v>
      </c>
      <c r="G7" s="23" t="s">
        <v>250</v>
      </c>
      <c r="H7" s="24" t="n">
        <v>22000</v>
      </c>
      <c r="I7" s="66" t="n">
        <v>45931</v>
      </c>
      <c r="J7" s="66" t="n">
        <v>46296</v>
      </c>
      <c r="K7" s="31" t="s">
        <v>30</v>
      </c>
      <c r="L7" s="137" t="str">
        <f aca="false">REPT("★",5)</f>
        <v>★★★★★</v>
      </c>
      <c r="M7" s="5"/>
      <c r="N7" s="5"/>
      <c r="O7" s="5"/>
      <c r="P7" s="5"/>
      <c r="Q7" s="5"/>
      <c r="R7" s="5"/>
    </row>
    <row r="8" customFormat="false" ht="15" hidden="false" customHeight="true" outlineLevel="0" collapsed="false">
      <c r="A8" s="5"/>
      <c r="B8" s="27" t="s">
        <v>31</v>
      </c>
      <c r="C8" s="27" t="s">
        <v>251</v>
      </c>
      <c r="D8" s="27" t="s">
        <v>252</v>
      </c>
      <c r="E8" s="27" t="s">
        <v>253</v>
      </c>
      <c r="F8" s="27" t="s">
        <v>254</v>
      </c>
      <c r="G8" s="27" t="s">
        <v>32</v>
      </c>
      <c r="H8" s="28" t="n">
        <v>5000</v>
      </c>
      <c r="I8" s="69" t="n">
        <v>46023</v>
      </c>
      <c r="J8" s="69" t="n">
        <v>46388</v>
      </c>
      <c r="K8" s="30" t="s">
        <v>25</v>
      </c>
      <c r="L8" s="138" t="str">
        <f aca="false">REPT("★",5)</f>
        <v>★★★★★</v>
      </c>
      <c r="M8" s="5"/>
      <c r="N8" s="5"/>
      <c r="O8" s="5"/>
      <c r="P8" s="5"/>
      <c r="Q8" s="5"/>
      <c r="R8" s="5"/>
    </row>
    <row r="9" customFormat="false" ht="15" hidden="false" customHeight="true" outlineLevel="0" collapsed="false">
      <c r="A9" s="5"/>
      <c r="B9" s="23" t="s">
        <v>33</v>
      </c>
      <c r="C9" s="23" t="s">
        <v>255</v>
      </c>
      <c r="D9" s="23" t="s">
        <v>256</v>
      </c>
      <c r="E9" s="23" t="s">
        <v>257</v>
      </c>
      <c r="F9" s="23" t="s">
        <v>258</v>
      </c>
      <c r="G9" s="23" t="s">
        <v>259</v>
      </c>
      <c r="H9" s="24" t="n">
        <v>12000</v>
      </c>
      <c r="I9" s="66" t="n">
        <v>46054</v>
      </c>
      <c r="J9" s="66" t="n">
        <v>46419</v>
      </c>
      <c r="K9" s="26" t="s">
        <v>25</v>
      </c>
      <c r="L9" s="137" t="str">
        <f aca="false">REPT("★",5)</f>
        <v>★★★★★</v>
      </c>
      <c r="M9" s="5"/>
      <c r="N9" s="5"/>
      <c r="O9" s="5"/>
      <c r="P9" s="5"/>
      <c r="Q9" s="5"/>
      <c r="R9" s="5"/>
    </row>
    <row r="10" customFormat="false" ht="1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customFormat="false" ht="1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customFormat="false" ht="1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customFormat="false" ht="1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customFormat="false" ht="1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customFormat="false" ht="1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customFormat="false" ht="1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customFormat="false" ht="1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customFormat="false" ht="1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customFormat="false" ht="1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customFormat="false" ht="1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customFormat="false" ht="1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customFormat="false" ht="1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customFormat="false" ht="1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customFormat="false" ht="1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customFormat="false" ht="1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customFormat="false" ht="1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customFormat="false" ht="1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customFormat="false" ht="1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customFormat="false" ht="1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customFormat="false" ht="1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customFormat="false" ht="1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customFormat="false" ht="1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customFormat="false" ht="1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customFormat="false" ht="1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customFormat="false" ht="1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customFormat="false" ht="1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customFormat="false" ht="1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customFormat="false" ht="1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customFormat="false" ht="1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customFormat="false" ht="1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customFormat="false" ht="1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customFormat="false" ht="1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customFormat="false" ht="1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customFormat="false" ht="1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customFormat="false" ht="1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customFormat="false" ht="1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customFormat="false" ht="1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customFormat="false" ht="1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customFormat="false" ht="1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customFormat="false" ht="1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customFormat="false" ht="1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customFormat="false" ht="1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customFormat="false" ht="1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customFormat="false" ht="1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customFormat="false" ht="1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customFormat="false" ht="1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customFormat="false" ht="1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customFormat="false" ht="1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customFormat="false" ht="1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customFormat="false" ht="1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customFormat="false" ht="1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customFormat="false" ht="1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customFormat="false" ht="1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customFormat="false" ht="1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customFormat="false" ht="1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customFormat="false" ht="1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customFormat="false" ht="1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customFormat="false" ht="1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customFormat="false" ht="1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customFormat="false" ht="1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customFormat="false" ht="1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customFormat="false" ht="1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customFormat="false" ht="1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customFormat="false" ht="1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customFormat="false" ht="1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customFormat="false" ht="1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customFormat="false" ht="1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customFormat="false" ht="1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customFormat="false" ht="1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customFormat="false" ht="1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</sheetData>
  <mergeCells count="2">
    <mergeCell ref="B2:L2"/>
    <mergeCell ref="B3:L3"/>
  </mergeCells>
  <hyperlinks>
    <hyperlink ref="B1" r:id="rId1" location="📊%20Dashboard!A1" display="📊 Dashboard"/>
    <hyperlink ref="D1" r:id="rId2" location="📅%20Calendario!A1" display="📅 Calendario"/>
    <hyperlink ref="F1" r:id="rId3" location="💰%20Finanzas!A1" display="💰 Finanzas"/>
    <hyperlink ref="H1" r:id="rId4" location="🤝%20CRM!A1" display="🤝 CRM"/>
    <hyperlink ref="L1" r:id="rId5" location="📈%20Métricas!A1" display="📈 Métrica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R1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11" min="3" style="1" width="14"/>
    <col collapsed="false" customWidth="true" hidden="false" outlineLevel="0" max="12" min="12" style="1" width="16"/>
    <col collapsed="false" customWidth="true" hidden="false" outlineLevel="0" max="13" min="13" style="1" width="14"/>
    <col collapsed="false" customWidth="true" hidden="false" outlineLevel="0" max="14" min="14" style="1" width="10"/>
    <col collapsed="false" customWidth="true" hidden="false" outlineLevel="0" max="15" min="15" style="1" width="12"/>
  </cols>
  <sheetData>
    <row r="1" customFormat="false" ht="21.75" hidden="false" customHeight="true" outlineLevel="0" collapsed="false">
      <c r="A1" s="2"/>
      <c r="B1" s="4" t="s">
        <v>0</v>
      </c>
      <c r="C1" s="2"/>
      <c r="D1" s="4" t="s">
        <v>1</v>
      </c>
      <c r="E1" s="2"/>
      <c r="F1" s="4" t="s">
        <v>2</v>
      </c>
      <c r="G1" s="2"/>
      <c r="H1" s="4" t="s">
        <v>3</v>
      </c>
      <c r="I1" s="2"/>
      <c r="J1" s="4" t="s">
        <v>4</v>
      </c>
      <c r="K1" s="2"/>
      <c r="L1" s="3" t="s">
        <v>5</v>
      </c>
      <c r="M1" s="2"/>
      <c r="N1" s="2"/>
      <c r="O1" s="2"/>
      <c r="P1" s="5"/>
      <c r="Q1" s="5"/>
      <c r="R1" s="5"/>
    </row>
    <row r="2" customFormat="false" ht="19.5" hidden="false" customHeight="true" outlineLevel="0" collapsed="false">
      <c r="A2" s="6"/>
      <c r="B2" s="64" t="s">
        <v>260</v>
      </c>
      <c r="C2" s="64"/>
      <c r="D2" s="64"/>
      <c r="E2" s="64"/>
      <c r="F2" s="64"/>
      <c r="G2" s="64"/>
      <c r="H2" s="64"/>
      <c r="I2" s="64"/>
      <c r="J2" s="64"/>
      <c r="K2" s="64"/>
      <c r="L2" s="5"/>
      <c r="M2" s="5"/>
      <c r="N2" s="5"/>
      <c r="O2" s="5"/>
      <c r="P2" s="5"/>
      <c r="Q2" s="5"/>
      <c r="R2" s="5"/>
    </row>
    <row r="3" customFormat="false" ht="1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5"/>
      <c r="M3" s="5"/>
      <c r="N3" s="5"/>
      <c r="O3" s="5"/>
      <c r="P3" s="5"/>
      <c r="Q3" s="5"/>
      <c r="R3" s="5"/>
    </row>
    <row r="4" customFormat="false" ht="15.75" hidden="false" customHeight="true" outlineLevel="0" collapsed="false">
      <c r="A4" s="5"/>
      <c r="B4" s="21" t="s">
        <v>261</v>
      </c>
      <c r="C4" s="21"/>
      <c r="D4" s="21"/>
      <c r="E4" s="21"/>
      <c r="F4" s="21"/>
      <c r="G4" s="21"/>
      <c r="H4" s="21"/>
      <c r="I4" s="21"/>
      <c r="J4" s="21"/>
      <c r="K4" s="21"/>
      <c r="L4" s="5"/>
      <c r="M4" s="5"/>
      <c r="N4" s="5"/>
      <c r="O4" s="5"/>
      <c r="P4" s="5"/>
      <c r="Q4" s="5"/>
      <c r="R4" s="5"/>
    </row>
    <row r="5" customFormat="false" ht="15" hidden="false" customHeight="true" outlineLevel="0" collapsed="false">
      <c r="A5" s="5"/>
      <c r="B5" s="22" t="s">
        <v>262</v>
      </c>
      <c r="C5" s="22" t="s">
        <v>68</v>
      </c>
      <c r="D5" s="22" t="s">
        <v>169</v>
      </c>
      <c r="E5" s="22" t="s">
        <v>263</v>
      </c>
      <c r="F5" s="22" t="s">
        <v>264</v>
      </c>
      <c r="G5" s="22" t="s">
        <v>265</v>
      </c>
      <c r="H5" s="22" t="s">
        <v>75</v>
      </c>
      <c r="I5" s="22" t="s">
        <v>266</v>
      </c>
      <c r="J5" s="22" t="s">
        <v>267</v>
      </c>
      <c r="K5" s="22" t="s">
        <v>268</v>
      </c>
      <c r="L5" s="22" t="s">
        <v>269</v>
      </c>
      <c r="M5" s="22" t="s">
        <v>270</v>
      </c>
      <c r="N5" s="139" t="s">
        <v>271</v>
      </c>
      <c r="O5" s="139" t="s">
        <v>272</v>
      </c>
      <c r="P5" s="5"/>
      <c r="Q5" s="5"/>
      <c r="R5" s="5"/>
    </row>
    <row r="6" customFormat="false" ht="15" hidden="false" customHeight="true" outlineLevel="0" collapsed="false">
      <c r="A6" s="5"/>
      <c r="B6" s="23" t="s">
        <v>23</v>
      </c>
      <c r="C6" s="95" t="s">
        <v>80</v>
      </c>
      <c r="D6" s="130" t="n">
        <v>12400</v>
      </c>
      <c r="E6" s="130" t="n">
        <v>320</v>
      </c>
      <c r="F6" s="130" t="n">
        <v>45000</v>
      </c>
      <c r="G6" s="130" t="n">
        <v>98000</v>
      </c>
      <c r="H6" s="140" t="n">
        <v>0.048</v>
      </c>
      <c r="I6" s="95" t="n">
        <v>20</v>
      </c>
      <c r="J6" s="130" t="n">
        <v>890</v>
      </c>
      <c r="K6" s="130" t="n">
        <v>1240</v>
      </c>
      <c r="L6" s="141" t="n">
        <f aca="false">F6*H6*I6</f>
        <v>43200</v>
      </c>
      <c r="M6" s="142" t="str">
        <f aca="false">IF(L6&gt;AVERAGE($L$6:$L$12),"⬆️ Sobre prom.","⬇️ Bajo prom.")</f>
        <v>⬇️ Bajo prom.</v>
      </c>
      <c r="N6" s="143"/>
      <c r="O6" s="144" t="str">
        <f aca="false">IF(N6="","—",IF(H6&gt;N6,"⬆️ "&amp;TEXT(H6-N6,"0.0%"),"⬇️ "&amp;TEXT(H6-N6,"0.0%")))</f>
        <v>—</v>
      </c>
      <c r="P6" s="5"/>
      <c r="Q6" s="5"/>
      <c r="R6" s="5"/>
    </row>
    <row r="7" customFormat="false" ht="15" hidden="false" customHeight="true" outlineLevel="0" collapsed="false">
      <c r="A7" s="5"/>
      <c r="B7" s="27" t="s">
        <v>23</v>
      </c>
      <c r="C7" s="97" t="s">
        <v>87</v>
      </c>
      <c r="D7" s="134" t="n">
        <v>8200</v>
      </c>
      <c r="E7" s="134" t="n">
        <v>85</v>
      </c>
      <c r="F7" s="134" t="n">
        <v>22000</v>
      </c>
      <c r="G7" s="134" t="n">
        <v>41000</v>
      </c>
      <c r="H7" s="145" t="n">
        <v>0.021</v>
      </c>
      <c r="I7" s="97" t="n">
        <v>12</v>
      </c>
      <c r="J7" s="134" t="n">
        <v>220</v>
      </c>
      <c r="K7" s="134" t="n">
        <v>380</v>
      </c>
      <c r="L7" s="146" t="n">
        <f aca="false">F7*H7*I7</f>
        <v>5544</v>
      </c>
      <c r="M7" s="147" t="str">
        <f aca="false">IF(L7&gt;AVERAGE($L$6:$L$12),"⬆️ Sobre prom.","⬇️ Bajo prom.")</f>
        <v>⬇️ Bajo prom.</v>
      </c>
      <c r="N7" s="143"/>
      <c r="O7" s="144" t="str">
        <f aca="false">IF(N7="","—",IF(H7&gt;N7,"⬆️ "&amp;TEXT(H7-N7,"0.0%"),"⬇️ "&amp;TEXT(H7-N7,"0.0%")))</f>
        <v>—</v>
      </c>
      <c r="P7" s="5"/>
      <c r="Q7" s="5"/>
      <c r="R7" s="5"/>
    </row>
    <row r="8" customFormat="false" ht="15" hidden="false" customHeight="true" outlineLevel="0" collapsed="false">
      <c r="A8" s="5"/>
      <c r="B8" s="23" t="s">
        <v>26</v>
      </c>
      <c r="C8" s="95" t="s">
        <v>80</v>
      </c>
      <c r="D8" s="130" t="n">
        <v>6800</v>
      </c>
      <c r="E8" s="130" t="n">
        <v>140</v>
      </c>
      <c r="F8" s="130" t="n">
        <v>18000</v>
      </c>
      <c r="G8" s="130" t="n">
        <v>35000</v>
      </c>
      <c r="H8" s="140" t="n">
        <v>0.052</v>
      </c>
      <c r="I8" s="95" t="n">
        <v>15</v>
      </c>
      <c r="J8" s="130" t="n">
        <v>410</v>
      </c>
      <c r="K8" s="130" t="n">
        <v>620</v>
      </c>
      <c r="L8" s="141" t="n">
        <f aca="false">F8*H8*I8</f>
        <v>14040</v>
      </c>
      <c r="M8" s="142" t="str">
        <f aca="false">IF(L8&gt;AVERAGE($L$6:$L$12),"⬆️ Sobre prom.","⬇️ Bajo prom.")</f>
        <v>⬇️ Bajo prom.</v>
      </c>
      <c r="N8" s="143"/>
      <c r="O8" s="144" t="str">
        <f aca="false">IF(N8="","—",IF(H8&gt;N8,"⬆️ "&amp;TEXT(H8-N8,"0.0%"),"⬇️ "&amp;TEXT(H8-N8,"0.0%")))</f>
        <v>—</v>
      </c>
      <c r="P8" s="5"/>
      <c r="Q8" s="5"/>
      <c r="R8" s="5"/>
    </row>
    <row r="9" customFormat="false" ht="15" hidden="false" customHeight="true" outlineLevel="0" collapsed="false">
      <c r="A9" s="5"/>
      <c r="B9" s="27" t="s">
        <v>28</v>
      </c>
      <c r="C9" s="97" t="s">
        <v>80</v>
      </c>
      <c r="D9" s="134" t="n">
        <v>22000</v>
      </c>
      <c r="E9" s="134" t="n">
        <v>580</v>
      </c>
      <c r="F9" s="134" t="n">
        <v>85000</v>
      </c>
      <c r="G9" s="134" t="n">
        <v>160000</v>
      </c>
      <c r="H9" s="145" t="n">
        <v>0.061</v>
      </c>
      <c r="I9" s="97" t="n">
        <v>30</v>
      </c>
      <c r="J9" s="134" t="n">
        <v>2100</v>
      </c>
      <c r="K9" s="134" t="n">
        <v>3400</v>
      </c>
      <c r="L9" s="146" t="n">
        <f aca="false">F9*H9*I9</f>
        <v>155550</v>
      </c>
      <c r="M9" s="147" t="str">
        <f aca="false">IF(L9&gt;AVERAGE($L$6:$L$12),"⬆️ Sobre prom.","⬇️ Bajo prom.")</f>
        <v>⬆️ Sobre prom.</v>
      </c>
      <c r="N9" s="143"/>
      <c r="O9" s="144" t="str">
        <f aca="false">IF(N9="","—",IF(H9&gt;N9,"⬆️ "&amp;TEXT(H9-N9,"0.0%"),"⬇️ "&amp;TEXT(H9-N9,"0.0%")))</f>
        <v>—</v>
      </c>
      <c r="P9" s="5"/>
      <c r="Q9" s="5"/>
      <c r="R9" s="5"/>
    </row>
    <row r="10" customFormat="false" ht="15" hidden="false" customHeight="true" outlineLevel="0" collapsed="false">
      <c r="A10" s="5"/>
      <c r="B10" s="23" t="s">
        <v>28</v>
      </c>
      <c r="C10" s="95" t="s">
        <v>96</v>
      </c>
      <c r="D10" s="130" t="n">
        <v>15500</v>
      </c>
      <c r="E10" s="130" t="n">
        <v>1200</v>
      </c>
      <c r="F10" s="130" t="n">
        <v>120000</v>
      </c>
      <c r="G10" s="130" t="n">
        <v>280000</v>
      </c>
      <c r="H10" s="140" t="n">
        <v>0.084</v>
      </c>
      <c r="I10" s="95" t="n">
        <v>20</v>
      </c>
      <c r="J10" s="130" t="n">
        <v>0</v>
      </c>
      <c r="K10" s="130" t="n">
        <v>0</v>
      </c>
      <c r="L10" s="141" t="n">
        <f aca="false">F10*H10*I10</f>
        <v>201600</v>
      </c>
      <c r="M10" s="142" t="str">
        <f aca="false">IF(L10&gt;AVERAGE($L$6:$L$12),"⬆️ Sobre prom.","⬇️ Bajo prom.")</f>
        <v>⬆️ Sobre prom.</v>
      </c>
      <c r="N10" s="143"/>
      <c r="O10" s="144" t="str">
        <f aca="false">IF(N10="","—",IF(H10&gt;N10,"⬆️ "&amp;TEXT(H10-N10,"0.0%"),"⬇️ "&amp;TEXT(H10-N10,"0.0%")))</f>
        <v>—</v>
      </c>
      <c r="P10" s="5"/>
      <c r="Q10" s="5"/>
      <c r="R10" s="5"/>
    </row>
    <row r="11" customFormat="false" ht="15" hidden="false" customHeight="true" outlineLevel="0" collapsed="false">
      <c r="A11" s="5"/>
      <c r="B11" s="27" t="s">
        <v>31</v>
      </c>
      <c r="C11" s="97" t="s">
        <v>80</v>
      </c>
      <c r="D11" s="134" t="n">
        <v>4200</v>
      </c>
      <c r="E11" s="134" t="n">
        <v>95</v>
      </c>
      <c r="F11" s="134" t="n">
        <v>12000</v>
      </c>
      <c r="G11" s="134" t="n">
        <v>22000</v>
      </c>
      <c r="H11" s="145" t="n">
        <v>0.039</v>
      </c>
      <c r="I11" s="97" t="n">
        <v>12</v>
      </c>
      <c r="J11" s="134" t="n">
        <v>560</v>
      </c>
      <c r="K11" s="134" t="n">
        <v>840</v>
      </c>
      <c r="L11" s="146" t="n">
        <f aca="false">F11*H11*I11</f>
        <v>5616</v>
      </c>
      <c r="M11" s="147" t="str">
        <f aca="false">IF(L11&gt;AVERAGE($L$6:$L$12),"⬆️ Sobre prom.","⬇️ Bajo prom.")</f>
        <v>⬇️ Bajo prom.</v>
      </c>
      <c r="N11" s="143"/>
      <c r="O11" s="144" t="str">
        <f aca="false">IF(N11="","—",IF(H11&gt;N11,"⬆️ "&amp;TEXT(H11-N11,"0.0%"),"⬇️ "&amp;TEXT(H11-N11,"0.0%")))</f>
        <v>—</v>
      </c>
      <c r="P11" s="5"/>
      <c r="Q11" s="5"/>
      <c r="R11" s="5"/>
    </row>
    <row r="12" customFormat="false" ht="15" hidden="false" customHeight="true" outlineLevel="0" collapsed="false">
      <c r="A12" s="5"/>
      <c r="B12" s="23" t="s">
        <v>33</v>
      </c>
      <c r="C12" s="95" t="s">
        <v>87</v>
      </c>
      <c r="D12" s="130" t="n">
        <v>3100</v>
      </c>
      <c r="E12" s="130" t="n">
        <v>45</v>
      </c>
      <c r="F12" s="130" t="n">
        <v>8000</v>
      </c>
      <c r="G12" s="130" t="n">
        <v>15000</v>
      </c>
      <c r="H12" s="140" t="n">
        <v>0.018</v>
      </c>
      <c r="I12" s="95" t="n">
        <v>10</v>
      </c>
      <c r="J12" s="130" t="n">
        <v>120</v>
      </c>
      <c r="K12" s="130" t="n">
        <v>210</v>
      </c>
      <c r="L12" s="141" t="n">
        <f aca="false">F12*H12*I12</f>
        <v>1440</v>
      </c>
      <c r="M12" s="142" t="str">
        <f aca="false">IF(L12&gt;AVERAGE($L$6:$L$12),"⬆️ Sobre prom.","⬇️ Bajo prom.")</f>
        <v>⬇️ Bajo prom.</v>
      </c>
      <c r="N12" s="143"/>
      <c r="O12" s="144" t="str">
        <f aca="false">IF(N12="","—",IF(H12&gt;N12,"⬆️ "&amp;TEXT(H12-N12,"0.0%"),"⬇️ "&amp;TEXT(H12-N12,"0.0%")))</f>
        <v>—</v>
      </c>
      <c r="P12" s="5"/>
      <c r="Q12" s="5"/>
      <c r="R12" s="5"/>
    </row>
    <row r="13" customFormat="false" ht="1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148" t="str">
        <f aca="false">IF(AND(E13&gt;0,G13&gt;0),ROUND(E13*G13/1000,1),"")</f>
        <v/>
      </c>
      <c r="M13" s="147" t="str">
        <f aca="false">IF(L13="","",IF(L13&gt;AVERAGE(L6:L55),"⬆️ Sobre prom.","⬇️ Bajo prom."))</f>
        <v/>
      </c>
      <c r="N13" s="5"/>
      <c r="O13" s="5"/>
      <c r="P13" s="5"/>
      <c r="Q13" s="5"/>
      <c r="R13" s="5"/>
    </row>
    <row r="14" customFormat="false" ht="1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149" t="str">
        <f aca="false">IF(AND(E14&gt;0,G14&gt;0),ROUND(E14*G14/1000,1),"")</f>
        <v/>
      </c>
      <c r="M14" s="142" t="str">
        <f aca="false">IF(L14="","",IF(L14&gt;AVERAGE(L6:L55),"⬆️ Sobre prom.","⬇️ Bajo prom."))</f>
        <v/>
      </c>
      <c r="N14" s="5"/>
      <c r="O14" s="5"/>
      <c r="P14" s="5"/>
      <c r="Q14" s="5"/>
      <c r="R14" s="5"/>
    </row>
    <row r="15" customFormat="false" ht="1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148" t="str">
        <f aca="false">IF(AND(E15&gt;0,G15&gt;0),ROUND(E15*G15/1000,1),"")</f>
        <v/>
      </c>
      <c r="M15" s="147" t="str">
        <f aca="false">IF(L15="","",IF(L15&gt;AVERAGE(L6:L55),"⬆️ Sobre prom.","⬇️ Bajo prom."))</f>
        <v/>
      </c>
      <c r="N15" s="5"/>
      <c r="O15" s="5"/>
      <c r="P15" s="5"/>
      <c r="Q15" s="5"/>
      <c r="R15" s="5"/>
    </row>
    <row r="16" customFormat="false" ht="1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149" t="str">
        <f aca="false">IF(AND(E16&gt;0,G16&gt;0),ROUND(E16*G16/1000,1),"")</f>
        <v/>
      </c>
      <c r="M16" s="142" t="str">
        <f aca="false">IF(L16="","",IF(L16&gt;AVERAGE(L6:L55),"⬆️ Sobre prom.","⬇️ Bajo prom."))</f>
        <v/>
      </c>
      <c r="N16" s="5"/>
      <c r="O16" s="5"/>
      <c r="P16" s="5"/>
      <c r="Q16" s="5"/>
      <c r="R16" s="5"/>
    </row>
    <row r="17" customFormat="false" ht="1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148" t="str">
        <f aca="false">IF(AND(E17&gt;0,G17&gt;0),ROUND(E17*G17/1000,1),"")</f>
        <v/>
      </c>
      <c r="M17" s="147" t="str">
        <f aca="false">IF(L17="","",IF(L17&gt;AVERAGE(L6:L55),"⬆️ Sobre prom.","⬇️ Bajo prom."))</f>
        <v/>
      </c>
      <c r="N17" s="5"/>
      <c r="O17" s="5"/>
      <c r="P17" s="5"/>
      <c r="Q17" s="5"/>
      <c r="R17" s="5"/>
    </row>
    <row r="18" customFormat="false" ht="1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149" t="str">
        <f aca="false">IF(AND(E18&gt;0,G18&gt;0),ROUND(E18*G18/1000,1),"")</f>
        <v/>
      </c>
      <c r="M18" s="142" t="str">
        <f aca="false">IF(L18="","",IF(L18&gt;AVERAGE(L6:L55),"⬆️ Sobre prom.","⬇️ Bajo prom."))</f>
        <v/>
      </c>
      <c r="N18" s="5"/>
      <c r="O18" s="5"/>
      <c r="P18" s="5"/>
      <c r="Q18" s="5"/>
      <c r="R18" s="5"/>
    </row>
    <row r="19" customFormat="false" ht="1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148" t="str">
        <f aca="false">IF(AND(E19&gt;0,G19&gt;0),ROUND(E19*G19/1000,1),"")</f>
        <v/>
      </c>
      <c r="M19" s="147" t="str">
        <f aca="false">IF(L19="","",IF(L19&gt;AVERAGE(L6:L55),"⬆️ Sobre prom.","⬇️ Bajo prom."))</f>
        <v/>
      </c>
      <c r="N19" s="5"/>
      <c r="O19" s="5"/>
      <c r="P19" s="5"/>
      <c r="Q19" s="5"/>
      <c r="R19" s="5"/>
    </row>
    <row r="20" customFormat="false" ht="1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149" t="str">
        <f aca="false">IF(AND(E20&gt;0,G20&gt;0),ROUND(E20*G20/1000,1),"")</f>
        <v/>
      </c>
      <c r="M20" s="142" t="str">
        <f aca="false">IF(L20="","",IF(L20&gt;AVERAGE(L6:L55),"⬆️ Sobre prom.","⬇️ Bajo prom."))</f>
        <v/>
      </c>
      <c r="N20" s="5"/>
      <c r="O20" s="5"/>
      <c r="P20" s="5"/>
      <c r="Q20" s="5"/>
      <c r="R20" s="5"/>
    </row>
    <row r="21" customFormat="false" ht="1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148" t="str">
        <f aca="false">IF(AND(E21&gt;0,G21&gt;0),ROUND(E21*G21/1000,1),"")</f>
        <v/>
      </c>
      <c r="M21" s="147" t="str">
        <f aca="false">IF(L21="","",IF(L21&gt;AVERAGE(L6:L55),"⬆️ Sobre prom.","⬇️ Bajo prom."))</f>
        <v/>
      </c>
      <c r="N21" s="5"/>
      <c r="O21" s="5"/>
      <c r="P21" s="5"/>
      <c r="Q21" s="5"/>
      <c r="R21" s="5"/>
    </row>
    <row r="22" customFormat="false" ht="1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149" t="str">
        <f aca="false">IF(AND(E22&gt;0,G22&gt;0),ROUND(E22*G22/1000,1),"")</f>
        <v/>
      </c>
      <c r="M22" s="142" t="str">
        <f aca="false">IF(L22="","",IF(L22&gt;AVERAGE(L6:L55),"⬆️ Sobre prom.","⬇️ Bajo prom."))</f>
        <v/>
      </c>
      <c r="N22" s="5"/>
      <c r="O22" s="5"/>
      <c r="P22" s="5"/>
      <c r="Q22" s="5"/>
      <c r="R22" s="5"/>
    </row>
    <row r="23" customFormat="false" ht="1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148" t="str">
        <f aca="false">IF(AND(E23&gt;0,G23&gt;0),ROUND(E23*G23/1000,1),"")</f>
        <v/>
      </c>
      <c r="M23" s="147" t="str">
        <f aca="false">IF(L23="","",IF(L23&gt;AVERAGE(L6:L55),"⬆️ Sobre prom.","⬇️ Bajo prom."))</f>
        <v/>
      </c>
      <c r="N23" s="5"/>
      <c r="O23" s="5"/>
      <c r="P23" s="5"/>
      <c r="Q23" s="5"/>
      <c r="R23" s="5"/>
    </row>
    <row r="24" customFormat="false" ht="1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149" t="str">
        <f aca="false">IF(AND(E24&gt;0,G24&gt;0),ROUND(E24*G24/1000,1),"")</f>
        <v/>
      </c>
      <c r="M24" s="142" t="str">
        <f aca="false">IF(L24="","",IF(L24&gt;AVERAGE(L6:L55),"⬆️ Sobre prom.","⬇️ Bajo prom."))</f>
        <v/>
      </c>
      <c r="N24" s="5"/>
      <c r="O24" s="5"/>
      <c r="P24" s="5"/>
      <c r="Q24" s="5"/>
      <c r="R24" s="5"/>
    </row>
    <row r="25" customFormat="false" ht="1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148" t="str">
        <f aca="false">IF(AND(E25&gt;0,G25&gt;0),ROUND(E25*G25/1000,1),"")</f>
        <v/>
      </c>
      <c r="M25" s="147" t="str">
        <f aca="false">IF(L25="","",IF(L25&gt;AVERAGE(L6:L55),"⬆️ Sobre prom.","⬇️ Bajo prom."))</f>
        <v/>
      </c>
      <c r="N25" s="5"/>
      <c r="O25" s="5"/>
      <c r="P25" s="5"/>
      <c r="Q25" s="5"/>
      <c r="R25" s="5"/>
    </row>
    <row r="26" customFormat="false" ht="1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149" t="str">
        <f aca="false">IF(AND(E26&gt;0,G26&gt;0),ROUND(E26*G26/1000,1),"")</f>
        <v/>
      </c>
      <c r="M26" s="142" t="str">
        <f aca="false">IF(L26="","",IF(L26&gt;AVERAGE(L6:L55),"⬆️ Sobre prom.","⬇️ Bajo prom."))</f>
        <v/>
      </c>
      <c r="N26" s="5"/>
      <c r="O26" s="5"/>
      <c r="P26" s="5"/>
      <c r="Q26" s="5"/>
      <c r="R26" s="5"/>
    </row>
    <row r="27" customFormat="false" ht="1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148" t="str">
        <f aca="false">IF(AND(E27&gt;0,G27&gt;0),ROUND(E27*G27/1000,1),"")</f>
        <v/>
      </c>
      <c r="M27" s="147" t="str">
        <f aca="false">IF(L27="","",IF(L27&gt;AVERAGE(L6:L55),"⬆️ Sobre prom.","⬇️ Bajo prom."))</f>
        <v/>
      </c>
      <c r="N27" s="5"/>
      <c r="O27" s="5"/>
      <c r="P27" s="5"/>
      <c r="Q27" s="5"/>
      <c r="R27" s="5"/>
    </row>
    <row r="28" customFormat="false" ht="1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149" t="str">
        <f aca="false">IF(AND(E28&gt;0,G28&gt;0),ROUND(E28*G28/1000,1),"")</f>
        <v/>
      </c>
      <c r="M28" s="142" t="str">
        <f aca="false">IF(L28="","",IF(L28&gt;AVERAGE(L6:L55),"⬆️ Sobre prom.","⬇️ Bajo prom."))</f>
        <v/>
      </c>
      <c r="N28" s="5"/>
      <c r="O28" s="5"/>
      <c r="P28" s="5"/>
      <c r="Q28" s="5"/>
      <c r="R28" s="5"/>
    </row>
    <row r="29" customFormat="false" ht="1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148" t="str">
        <f aca="false">IF(AND(E29&gt;0,G29&gt;0),ROUND(E29*G29/1000,1),"")</f>
        <v/>
      </c>
      <c r="M29" s="147" t="str">
        <f aca="false">IF(L29="","",IF(L29&gt;AVERAGE(L6:L55),"⬆️ Sobre prom.","⬇️ Bajo prom."))</f>
        <v/>
      </c>
      <c r="N29" s="5"/>
      <c r="O29" s="5"/>
      <c r="P29" s="5"/>
      <c r="Q29" s="5"/>
      <c r="R29" s="5"/>
    </row>
    <row r="30" customFormat="false" ht="1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149" t="str">
        <f aca="false">IF(AND(E30&gt;0,G30&gt;0),ROUND(E30*G30/1000,1),"")</f>
        <v/>
      </c>
      <c r="M30" s="142" t="str">
        <f aca="false">IF(L30="","",IF(L30&gt;AVERAGE(L6:L55),"⬆️ Sobre prom.","⬇️ Bajo prom."))</f>
        <v/>
      </c>
      <c r="N30" s="5"/>
      <c r="O30" s="5"/>
      <c r="P30" s="5"/>
      <c r="Q30" s="5"/>
      <c r="R30" s="5"/>
    </row>
    <row r="31" customFormat="false" ht="1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148" t="str">
        <f aca="false">IF(AND(E31&gt;0,G31&gt;0),ROUND(E31*G31/1000,1),"")</f>
        <v/>
      </c>
      <c r="M31" s="147" t="str">
        <f aca="false">IF(L31="","",IF(L31&gt;AVERAGE(L6:L55),"⬆️ Sobre prom.","⬇️ Bajo prom."))</f>
        <v/>
      </c>
      <c r="N31" s="5"/>
      <c r="O31" s="5"/>
      <c r="P31" s="5"/>
      <c r="Q31" s="5"/>
      <c r="R31" s="5"/>
    </row>
    <row r="32" customFormat="false" ht="1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149" t="str">
        <f aca="false">IF(AND(E32&gt;0,G32&gt;0),ROUND(E32*G32/1000,1),"")</f>
        <v/>
      </c>
      <c r="M32" s="142" t="str">
        <f aca="false">IF(L32="","",IF(L32&gt;AVERAGE(L6:L55),"⬆️ Sobre prom.","⬇️ Bajo prom."))</f>
        <v/>
      </c>
      <c r="N32" s="5"/>
      <c r="O32" s="5"/>
      <c r="P32" s="5"/>
      <c r="Q32" s="5"/>
      <c r="R32" s="5"/>
    </row>
    <row r="33" customFormat="false" ht="1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148" t="str">
        <f aca="false">IF(AND(E33&gt;0,G33&gt;0),ROUND(E33*G33/1000,1),"")</f>
        <v/>
      </c>
      <c r="M33" s="147" t="str">
        <f aca="false">IF(L33="","",IF(L33&gt;AVERAGE(L6:L55),"⬆️ Sobre prom.","⬇️ Bajo prom."))</f>
        <v/>
      </c>
      <c r="N33" s="5"/>
      <c r="O33" s="5"/>
      <c r="P33" s="5"/>
      <c r="Q33" s="5"/>
      <c r="R33" s="5"/>
    </row>
    <row r="34" customFormat="false" ht="1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149" t="str">
        <f aca="false">IF(AND(E34&gt;0,G34&gt;0),ROUND(E34*G34/1000,1),"")</f>
        <v/>
      </c>
      <c r="M34" s="142" t="str">
        <f aca="false">IF(L34="","",IF(L34&gt;AVERAGE(L6:L55),"⬆️ Sobre prom.","⬇️ Bajo prom."))</f>
        <v/>
      </c>
      <c r="N34" s="5"/>
      <c r="O34" s="5"/>
      <c r="P34" s="5"/>
      <c r="Q34" s="5"/>
      <c r="R34" s="5"/>
    </row>
    <row r="35" customFormat="false" ht="1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148" t="str">
        <f aca="false">IF(AND(E35&gt;0,G35&gt;0),ROUND(E35*G35/1000,1),"")</f>
        <v/>
      </c>
      <c r="M35" s="147" t="str">
        <f aca="false">IF(L35="","",IF(L35&gt;AVERAGE(L6:L55),"⬆️ Sobre prom.","⬇️ Bajo prom."))</f>
        <v/>
      </c>
      <c r="N35" s="5"/>
      <c r="O35" s="5"/>
      <c r="P35" s="5"/>
      <c r="Q35" s="5"/>
      <c r="R35" s="5"/>
    </row>
    <row r="36" customFormat="false" ht="1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149" t="str">
        <f aca="false">IF(AND(E36&gt;0,G36&gt;0),ROUND(E36*G36/1000,1),"")</f>
        <v/>
      </c>
      <c r="M36" s="142" t="str">
        <f aca="false">IF(L36="","",IF(L36&gt;AVERAGE(L6:L55),"⬆️ Sobre prom.","⬇️ Bajo prom."))</f>
        <v/>
      </c>
      <c r="N36" s="5"/>
      <c r="O36" s="5"/>
      <c r="P36" s="5"/>
      <c r="Q36" s="5"/>
      <c r="R36" s="5"/>
    </row>
    <row r="37" customFormat="false" ht="1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148" t="str">
        <f aca="false">IF(AND(E37&gt;0,G37&gt;0),ROUND(E37*G37/1000,1),"")</f>
        <v/>
      </c>
      <c r="M37" s="147" t="str">
        <f aca="false">IF(L37="","",IF(L37&gt;AVERAGE(L6:L55),"⬆️ Sobre prom.","⬇️ Bajo prom."))</f>
        <v/>
      </c>
      <c r="N37" s="5"/>
      <c r="O37" s="5"/>
      <c r="P37" s="5"/>
      <c r="Q37" s="5"/>
      <c r="R37" s="5"/>
    </row>
    <row r="38" customFormat="false" ht="1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149" t="str">
        <f aca="false">IF(AND(E38&gt;0,G38&gt;0),ROUND(E38*G38/1000,1),"")</f>
        <v/>
      </c>
      <c r="M38" s="142" t="str">
        <f aca="false">IF(L38="","",IF(L38&gt;AVERAGE(L6:L55),"⬆️ Sobre prom.","⬇️ Bajo prom."))</f>
        <v/>
      </c>
      <c r="N38" s="5"/>
      <c r="O38" s="5"/>
      <c r="P38" s="5"/>
      <c r="Q38" s="5"/>
      <c r="R38" s="5"/>
    </row>
    <row r="39" customFormat="false" ht="1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148" t="str">
        <f aca="false">IF(AND(E39&gt;0,G39&gt;0),ROUND(E39*G39/1000,1),"")</f>
        <v/>
      </c>
      <c r="M39" s="147" t="str">
        <f aca="false">IF(L39="","",IF(L39&gt;AVERAGE(L6:L55),"⬆️ Sobre prom.","⬇️ Bajo prom."))</f>
        <v/>
      </c>
      <c r="N39" s="5"/>
      <c r="O39" s="5"/>
      <c r="P39" s="5"/>
      <c r="Q39" s="5"/>
      <c r="R39" s="5"/>
    </row>
    <row r="40" customFormat="false" ht="1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149" t="str">
        <f aca="false">IF(AND(E40&gt;0,G40&gt;0),ROUND(E40*G40/1000,1),"")</f>
        <v/>
      </c>
      <c r="M40" s="142" t="str">
        <f aca="false">IF(L40="","",IF(L40&gt;AVERAGE(L6:L55),"⬆️ Sobre prom.","⬇️ Bajo prom."))</f>
        <v/>
      </c>
      <c r="N40" s="5"/>
      <c r="O40" s="5"/>
      <c r="P40" s="5"/>
      <c r="Q40" s="5"/>
      <c r="R40" s="5"/>
    </row>
    <row r="41" customFormat="false" ht="1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148" t="str">
        <f aca="false">IF(AND(E41&gt;0,G41&gt;0),ROUND(E41*G41/1000,1),"")</f>
        <v/>
      </c>
      <c r="M41" s="147" t="str">
        <f aca="false">IF(L41="","",IF(L41&gt;AVERAGE(L6:L55),"⬆️ Sobre prom.","⬇️ Bajo prom."))</f>
        <v/>
      </c>
      <c r="N41" s="5"/>
      <c r="O41" s="5"/>
      <c r="P41" s="5"/>
      <c r="Q41" s="5"/>
      <c r="R41" s="5"/>
    </row>
    <row r="42" customFormat="false" ht="1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149" t="str">
        <f aca="false">IF(AND(E42&gt;0,G42&gt;0),ROUND(E42*G42/1000,1),"")</f>
        <v/>
      </c>
      <c r="M42" s="142" t="str">
        <f aca="false">IF(L42="","",IF(L42&gt;AVERAGE(L6:L55),"⬆️ Sobre prom.","⬇️ Bajo prom."))</f>
        <v/>
      </c>
      <c r="N42" s="5"/>
      <c r="O42" s="5"/>
      <c r="P42" s="5"/>
      <c r="Q42" s="5"/>
      <c r="R42" s="5"/>
    </row>
    <row r="43" customFormat="false" ht="1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148" t="str">
        <f aca="false">IF(AND(E43&gt;0,G43&gt;0),ROUND(E43*G43/1000,1),"")</f>
        <v/>
      </c>
      <c r="M43" s="147" t="str">
        <f aca="false">IF(L43="","",IF(L43&gt;AVERAGE(L6:L55),"⬆️ Sobre prom.","⬇️ Bajo prom."))</f>
        <v/>
      </c>
      <c r="N43" s="5"/>
      <c r="O43" s="5"/>
      <c r="P43" s="5"/>
      <c r="Q43" s="5"/>
      <c r="R43" s="5"/>
    </row>
    <row r="44" customFormat="false" ht="1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149" t="str">
        <f aca="false">IF(AND(E44&gt;0,G44&gt;0),ROUND(E44*G44/1000,1),"")</f>
        <v/>
      </c>
      <c r="M44" s="142" t="str">
        <f aca="false">IF(L44="","",IF(L44&gt;AVERAGE(L6:L55),"⬆️ Sobre prom.","⬇️ Bajo prom."))</f>
        <v/>
      </c>
      <c r="N44" s="5"/>
      <c r="O44" s="5"/>
      <c r="P44" s="5"/>
      <c r="Q44" s="5"/>
      <c r="R44" s="5"/>
    </row>
    <row r="45" customFormat="false" ht="1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148" t="str">
        <f aca="false">IF(AND(E45&gt;0,G45&gt;0),ROUND(E45*G45/1000,1),"")</f>
        <v/>
      </c>
      <c r="M45" s="147" t="str">
        <f aca="false">IF(L45="","",IF(L45&gt;AVERAGE(L6:L55),"⬆️ Sobre prom.","⬇️ Bajo prom."))</f>
        <v/>
      </c>
      <c r="N45" s="5"/>
      <c r="O45" s="5"/>
      <c r="P45" s="5"/>
      <c r="Q45" s="5"/>
      <c r="R45" s="5"/>
    </row>
    <row r="46" customFormat="false" ht="1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149" t="str">
        <f aca="false">IF(AND(E46&gt;0,G46&gt;0),ROUND(E46*G46/1000,1),"")</f>
        <v/>
      </c>
      <c r="M46" s="142" t="str">
        <f aca="false">IF(L46="","",IF(L46&gt;AVERAGE(L6:L55),"⬆️ Sobre prom.","⬇️ Bajo prom."))</f>
        <v/>
      </c>
      <c r="N46" s="5"/>
      <c r="O46" s="5"/>
      <c r="P46" s="5"/>
      <c r="Q46" s="5"/>
      <c r="R46" s="5"/>
    </row>
    <row r="47" customFormat="false" ht="1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148" t="str">
        <f aca="false">IF(AND(E47&gt;0,G47&gt;0),ROUND(E47*G47/1000,1),"")</f>
        <v/>
      </c>
      <c r="M47" s="147" t="str">
        <f aca="false">IF(L47="","",IF(L47&gt;AVERAGE(L6:L55),"⬆️ Sobre prom.","⬇️ Bajo prom."))</f>
        <v/>
      </c>
      <c r="N47" s="5"/>
      <c r="O47" s="5"/>
      <c r="P47" s="5"/>
      <c r="Q47" s="5"/>
      <c r="R47" s="5"/>
    </row>
    <row r="48" customFormat="false" ht="1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149" t="str">
        <f aca="false">IF(AND(E48&gt;0,G48&gt;0),ROUND(E48*G48/1000,1),"")</f>
        <v/>
      </c>
      <c r="M48" s="142" t="str">
        <f aca="false">IF(L48="","",IF(L48&gt;AVERAGE(L6:L55),"⬆️ Sobre prom.","⬇️ Bajo prom."))</f>
        <v/>
      </c>
      <c r="N48" s="5"/>
      <c r="O48" s="5"/>
      <c r="P48" s="5"/>
      <c r="Q48" s="5"/>
      <c r="R48" s="5"/>
    </row>
    <row r="49" customFormat="false" ht="1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148" t="str">
        <f aca="false">IF(AND(E49&gt;0,G49&gt;0),ROUND(E49*G49/1000,1),"")</f>
        <v/>
      </c>
      <c r="M49" s="147" t="str">
        <f aca="false">IF(L49="","",IF(L49&gt;AVERAGE(L6:L55),"⬆️ Sobre prom.","⬇️ Bajo prom."))</f>
        <v/>
      </c>
      <c r="N49" s="5"/>
      <c r="O49" s="5"/>
      <c r="P49" s="5"/>
      <c r="Q49" s="5"/>
      <c r="R49" s="5"/>
    </row>
    <row r="50" customFormat="false" ht="1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149" t="str">
        <f aca="false">IF(AND(E50&gt;0,G50&gt;0),ROUND(E50*G50/1000,1),"")</f>
        <v/>
      </c>
      <c r="M50" s="142" t="str">
        <f aca="false">IF(L50="","",IF(L50&gt;AVERAGE(L6:L55),"⬆️ Sobre prom.","⬇️ Bajo prom."))</f>
        <v/>
      </c>
      <c r="N50" s="5"/>
      <c r="O50" s="5"/>
      <c r="P50" s="5"/>
      <c r="Q50" s="5"/>
      <c r="R50" s="5"/>
    </row>
    <row r="51" customFormat="false" ht="1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148" t="str">
        <f aca="false">IF(AND(E51&gt;0,G51&gt;0),ROUND(E51*G51/1000,1),"")</f>
        <v/>
      </c>
      <c r="M51" s="147" t="str">
        <f aca="false">IF(L51="","",IF(L51&gt;AVERAGE(L6:L55),"⬆️ Sobre prom.","⬇️ Bajo prom."))</f>
        <v/>
      </c>
      <c r="N51" s="5"/>
      <c r="O51" s="5"/>
      <c r="P51" s="5"/>
      <c r="Q51" s="5"/>
      <c r="R51" s="5"/>
    </row>
    <row r="52" customFormat="false" ht="1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149" t="str">
        <f aca="false">IF(AND(E52&gt;0,G52&gt;0),ROUND(E52*G52/1000,1),"")</f>
        <v/>
      </c>
      <c r="M52" s="142" t="str">
        <f aca="false">IF(L52="","",IF(L52&gt;AVERAGE(L6:L55),"⬆️ Sobre prom.","⬇️ Bajo prom."))</f>
        <v/>
      </c>
      <c r="N52" s="5"/>
      <c r="O52" s="5"/>
      <c r="P52" s="5"/>
      <c r="Q52" s="5"/>
      <c r="R52" s="5"/>
    </row>
    <row r="53" customFormat="false" ht="1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148" t="str">
        <f aca="false">IF(AND(E53&gt;0,G53&gt;0),ROUND(E53*G53/1000,1),"")</f>
        <v/>
      </c>
      <c r="M53" s="147" t="str">
        <f aca="false">IF(L53="","",IF(L53&gt;AVERAGE(L6:L55),"⬆️ Sobre prom.","⬇️ Bajo prom."))</f>
        <v/>
      </c>
      <c r="N53" s="5"/>
      <c r="O53" s="5"/>
      <c r="P53" s="5"/>
      <c r="Q53" s="5"/>
      <c r="R53" s="5"/>
    </row>
    <row r="54" customFormat="false" ht="1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149" t="str">
        <f aca="false">IF(AND(E54&gt;0,G54&gt;0),ROUND(E54*G54/1000,1),"")</f>
        <v/>
      </c>
      <c r="M54" s="142" t="str">
        <f aca="false">IF(L54="","",IF(L54&gt;AVERAGE(L6:L55),"⬆️ Sobre prom.","⬇️ Bajo prom."))</f>
        <v/>
      </c>
      <c r="N54" s="5"/>
      <c r="O54" s="5"/>
      <c r="P54" s="5"/>
      <c r="Q54" s="5"/>
      <c r="R54" s="5"/>
    </row>
    <row r="55" customFormat="false" ht="1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148" t="str">
        <f aca="false">IF(AND(E55&gt;0,G55&gt;0),ROUND(E55*G55/1000,1),"")</f>
        <v/>
      </c>
      <c r="M55" s="147" t="str">
        <f aca="false">IF(L55="","",IF(L55&gt;AVERAGE(L6:L55),"⬆️ Sobre prom.","⬇️ Bajo prom."))</f>
        <v/>
      </c>
      <c r="N55" s="5"/>
      <c r="O55" s="5"/>
      <c r="P55" s="5"/>
      <c r="Q55" s="5"/>
      <c r="R55" s="5"/>
    </row>
    <row r="56" customFormat="false" ht="1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customFormat="false" ht="1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customFormat="false" ht="1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customFormat="false" ht="1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customFormat="false" ht="15" hidden="false" customHeight="true" outlineLevel="0" collapsed="false">
      <c r="A60" s="5"/>
      <c r="B60" s="32" t="s">
        <v>273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5"/>
      <c r="O60" s="5"/>
      <c r="P60" s="5"/>
      <c r="Q60" s="5"/>
      <c r="R60" s="5"/>
    </row>
    <row r="61" customFormat="false" ht="15" hidden="false" customHeight="true" outlineLevel="0" collapsed="false">
      <c r="A61" s="5"/>
      <c r="B61" s="116" t="s">
        <v>274</v>
      </c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5"/>
      <c r="O61" s="5"/>
      <c r="P61" s="5"/>
      <c r="Q61" s="5"/>
      <c r="R61" s="5"/>
    </row>
    <row r="62" customFormat="false" ht="15" hidden="false" customHeight="true" outlineLevel="0" collapsed="false">
      <c r="A62" s="5"/>
      <c r="B62" s="22" t="s">
        <v>69</v>
      </c>
      <c r="C62" s="22" t="s">
        <v>275</v>
      </c>
      <c r="D62" s="22" t="s">
        <v>276</v>
      </c>
      <c r="E62" s="22" t="s">
        <v>277</v>
      </c>
      <c r="F62" s="22" t="s">
        <v>278</v>
      </c>
      <c r="G62" s="22" t="s">
        <v>279</v>
      </c>
      <c r="H62" s="22" t="s">
        <v>280</v>
      </c>
      <c r="I62" s="5"/>
      <c r="J62" s="5"/>
      <c r="K62" s="5"/>
      <c r="L62" s="5"/>
      <c r="M62" s="5"/>
      <c r="N62" s="5"/>
      <c r="O62" s="5"/>
      <c r="P62" s="5"/>
      <c r="Q62" s="5"/>
      <c r="R62" s="5"/>
    </row>
    <row r="63" customFormat="false" ht="15" hidden="false" customHeight="true" outlineLevel="0" collapsed="false">
      <c r="A63" s="5"/>
      <c r="B63" s="23" t="s">
        <v>81</v>
      </c>
      <c r="C63" s="150"/>
      <c r="D63" s="150"/>
      <c r="E63" s="150"/>
      <c r="F63" s="150"/>
      <c r="G63" s="150"/>
      <c r="H63" s="23" t="s">
        <v>281</v>
      </c>
      <c r="I63" s="5"/>
      <c r="J63" s="5"/>
      <c r="K63" s="5"/>
      <c r="L63" s="5"/>
      <c r="M63" s="5"/>
      <c r="N63" s="5"/>
      <c r="O63" s="5"/>
      <c r="P63" s="5"/>
      <c r="Q63" s="5"/>
      <c r="R63" s="5"/>
    </row>
    <row r="64" customFormat="false" ht="15" hidden="false" customHeight="true" outlineLevel="0" collapsed="false">
      <c r="A64" s="5"/>
      <c r="B64" s="27" t="s">
        <v>88</v>
      </c>
      <c r="C64" s="151"/>
      <c r="D64" s="151"/>
      <c r="E64" s="151"/>
      <c r="F64" s="151"/>
      <c r="G64" s="151"/>
      <c r="H64" s="152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customFormat="false" ht="15" hidden="false" customHeight="true" outlineLevel="0" collapsed="false">
      <c r="A65" s="5"/>
      <c r="B65" s="23" t="s">
        <v>282</v>
      </c>
      <c r="C65" s="150"/>
      <c r="D65" s="150"/>
      <c r="E65" s="150"/>
      <c r="F65" s="150"/>
      <c r="G65" s="150"/>
      <c r="H65" s="153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customFormat="false" ht="15" hidden="false" customHeight="true" outlineLevel="0" collapsed="false">
      <c r="A66" s="5"/>
      <c r="B66" s="27" t="s">
        <v>283</v>
      </c>
      <c r="C66" s="151"/>
      <c r="D66" s="151"/>
      <c r="E66" s="151"/>
      <c r="F66" s="151"/>
      <c r="G66" s="151"/>
      <c r="H66" s="152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customFormat="false" ht="15" hidden="false" customHeight="true" outlineLevel="0" collapsed="false">
      <c r="A67" s="5"/>
      <c r="B67" s="23" t="s">
        <v>284</v>
      </c>
      <c r="C67" s="150"/>
      <c r="D67" s="150"/>
      <c r="E67" s="150"/>
      <c r="F67" s="150"/>
      <c r="G67" s="150"/>
      <c r="H67" s="153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customFormat="false" ht="1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customFormat="false" ht="1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customFormat="false" ht="1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customFormat="false" ht="1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customFormat="false" ht="1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customFormat="false" ht="1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customFormat="false" ht="1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customFormat="false" ht="1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customFormat="false" ht="1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customFormat="false" ht="1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customFormat="false" ht="1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customFormat="false" ht="1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customFormat="false" ht="1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customFormat="false" ht="1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customFormat="false" ht="1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customFormat="false" ht="1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customFormat="false" ht="1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customFormat="false" ht="1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customFormat="false" ht="1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customFormat="false" ht="1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customFormat="false" ht="1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customFormat="false" ht="1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customFormat="false" ht="1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customFormat="false" ht="1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customFormat="false" ht="1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customFormat="false" ht="1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customFormat="false" ht="1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customFormat="false" ht="1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customFormat="false" ht="1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customFormat="false" ht="1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customFormat="false" ht="1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customFormat="false" ht="1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customFormat="false" ht="1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customFormat="false" ht="1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customFormat="false" ht="1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customFormat="false" ht="1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customFormat="false" ht="1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customFormat="false" ht="1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customFormat="false" ht="1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customFormat="false" ht="1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customFormat="false" ht="1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customFormat="false" ht="1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customFormat="false" ht="1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customFormat="false" ht="1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customFormat="false" ht="1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customFormat="false" ht="1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customFormat="false" ht="1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customFormat="false" ht="1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customFormat="false" ht="1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customFormat="false" ht="1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customFormat="false" ht="1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customFormat="false" ht="1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customFormat="false" ht="1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customFormat="false" ht="1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customFormat="false" ht="1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customFormat="false" ht="1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customFormat="false" ht="1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customFormat="false" ht="1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customFormat="false" ht="1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customFormat="false" ht="1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customFormat="false" ht="1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customFormat="false" ht="1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customFormat="false" ht="1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customFormat="false" ht="1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customFormat="false" ht="1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customFormat="false" ht="1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customFormat="false" ht="1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customFormat="false" ht="1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customFormat="false" ht="1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customFormat="false" ht="1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customFormat="false" ht="1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customFormat="false" ht="1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customFormat="false" ht="1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customFormat="false" ht="1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customFormat="false" ht="1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customFormat="false" ht="1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customFormat="false" ht="1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customFormat="false" ht="1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customFormat="false" ht="1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customFormat="false" ht="1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customFormat="false" ht="1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customFormat="false" ht="1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customFormat="false" ht="1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</sheetData>
  <mergeCells count="4">
    <mergeCell ref="B2:K2"/>
    <mergeCell ref="B4:K4"/>
    <mergeCell ref="B60:M60"/>
    <mergeCell ref="B61:M61"/>
  </mergeCells>
  <conditionalFormatting sqref="L6:L55">
    <cfRule type="colorScale" priority="2">
      <colorScale>
        <cfvo type="min" val="0"/>
        <cfvo type="percentile" val="50"/>
        <cfvo type="max" val="0"/>
        <color rgb="FFEF4444"/>
        <color rgb="FFF59E0B"/>
        <color rgb="FF10B981"/>
      </colorScale>
    </cfRule>
  </conditionalFormatting>
  <hyperlinks>
    <hyperlink ref="B1" r:id="rId1" location="📊%20Dashboard!A1" display="📊 Dashboard"/>
    <hyperlink ref="D1" r:id="rId2" location="📅%20Calendario!A1" display="📅 Calendario"/>
    <hyperlink ref="F1" r:id="rId3" location="💰%20Finanzas!A1" display="💰 Finanzas"/>
    <hyperlink ref="H1" r:id="rId4" location="🤝%20CRM!A1" display="🤝 CRM"/>
    <hyperlink ref="J1" r:id="rId5" location="🏢%20Clientes!A1" display="🏢 Client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B923C"/>
    <pageSetUpPr fitToPage="false"/>
  </sheetPr>
  <dimension ref="A1:P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5" min="4" style="1" width="55"/>
    <col collapsed="false" customWidth="true" hidden="false" outlineLevel="0" max="6" min="6" style="1" width="15"/>
    <col collapsed="false" customWidth="true" hidden="false" outlineLevel="0" max="8" min="8" style="1" width="15"/>
    <col collapsed="false" customWidth="true" hidden="false" outlineLevel="0" max="10" min="10" style="1" width="15"/>
    <col collapsed="false" customWidth="true" hidden="false" outlineLevel="0" max="12" min="12" style="1" width="15"/>
    <col collapsed="false" customWidth="true" hidden="false" outlineLevel="0" max="14" min="14" style="1" width="15"/>
  </cols>
  <sheetData>
    <row r="1" customFormat="false" ht="21.75" hidden="false" customHeight="true" outlineLevel="0" collapsed="false">
      <c r="A1" s="2"/>
      <c r="B1" s="4" t="s">
        <v>0</v>
      </c>
      <c r="C1" s="2"/>
      <c r="D1" s="4" t="s">
        <v>1</v>
      </c>
      <c r="E1" s="2"/>
      <c r="F1" s="4" t="s">
        <v>2</v>
      </c>
      <c r="G1" s="2"/>
      <c r="H1" s="4" t="s">
        <v>3</v>
      </c>
      <c r="I1" s="2"/>
      <c r="J1" s="4" t="s">
        <v>4</v>
      </c>
      <c r="K1" s="2"/>
      <c r="L1" s="4" t="s">
        <v>5</v>
      </c>
      <c r="M1" s="2"/>
      <c r="N1" s="3" t="s">
        <v>285</v>
      </c>
      <c r="O1" s="2"/>
      <c r="P1" s="5"/>
    </row>
    <row r="2" customFormat="false" ht="15" hidden="false" customHeight="true" outlineLevel="0" collapsed="false">
      <c r="A2" s="6"/>
      <c r="B2" s="6"/>
      <c r="C2" s="6"/>
      <c r="D2" s="6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</row>
    <row r="3" customFormat="false" ht="19.5" hidden="false" customHeight="true" outlineLevel="0" collapsed="false">
      <c r="A3" s="6"/>
      <c r="B3" s="64" t="s">
        <v>286</v>
      </c>
      <c r="C3" s="64"/>
      <c r="D3" s="64"/>
      <c r="E3" s="64"/>
      <c r="F3" s="6"/>
      <c r="G3" s="5"/>
      <c r="H3" s="5"/>
      <c r="I3" s="5"/>
      <c r="J3" s="5"/>
      <c r="K3" s="5"/>
      <c r="L3" s="5"/>
      <c r="M3" s="5"/>
      <c r="N3" s="5"/>
      <c r="O3" s="5"/>
      <c r="P3" s="5"/>
    </row>
    <row r="4" customFormat="false" ht="15" hidden="false" customHeight="true" outlineLevel="0" collapsed="false">
      <c r="A4" s="6"/>
      <c r="B4" s="6"/>
      <c r="C4" s="6"/>
      <c r="D4" s="6"/>
      <c r="E4" s="6"/>
      <c r="F4" s="6"/>
      <c r="G4" s="5"/>
      <c r="H4" s="5"/>
      <c r="I4" s="5"/>
      <c r="J4" s="5"/>
      <c r="K4" s="5"/>
      <c r="L4" s="5"/>
      <c r="M4" s="5"/>
      <c r="N4" s="5"/>
      <c r="O4" s="5"/>
      <c r="P4" s="5"/>
    </row>
    <row r="5" customFormat="false" ht="15" hidden="false" customHeight="true" outlineLevel="0" collapsed="false">
      <c r="A5" s="5"/>
      <c r="B5" s="32" t="s">
        <v>287</v>
      </c>
      <c r="C5" s="32"/>
      <c r="D5" s="32"/>
      <c r="E5" s="32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customFormat="false" ht="15" hidden="false" customHeight="true" outlineLevel="0" collapsed="false">
      <c r="A6" s="5"/>
      <c r="B6" s="22" t="s">
        <v>288</v>
      </c>
      <c r="C6" s="22" t="s">
        <v>228</v>
      </c>
      <c r="D6" s="22" t="s">
        <v>289</v>
      </c>
      <c r="E6" s="22" t="s">
        <v>290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customFormat="false" ht="45" hidden="false" customHeight="true" outlineLevel="0" collapsed="false">
      <c r="A7" s="5"/>
      <c r="B7" s="154" t="s">
        <v>291</v>
      </c>
      <c r="C7" s="154" t="s">
        <v>292</v>
      </c>
      <c r="D7" s="154" t="s">
        <v>293</v>
      </c>
      <c r="E7" s="155" t="s">
        <v>294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customFormat="false" ht="45" hidden="false" customHeight="true" outlineLevel="0" collapsed="false">
      <c r="A8" s="5"/>
      <c r="B8" s="156" t="s">
        <v>295</v>
      </c>
      <c r="C8" s="156" t="s">
        <v>296</v>
      </c>
      <c r="D8" s="156" t="s">
        <v>297</v>
      </c>
      <c r="E8" s="157" t="s">
        <v>298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customFormat="false" ht="45" hidden="false" customHeight="true" outlineLevel="0" collapsed="false">
      <c r="A9" s="5"/>
      <c r="B9" s="154" t="s">
        <v>299</v>
      </c>
      <c r="C9" s="154" t="s">
        <v>300</v>
      </c>
      <c r="D9" s="154" t="s">
        <v>301</v>
      </c>
      <c r="E9" s="155" t="s">
        <v>302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customFormat="false" ht="45" hidden="false" customHeight="true" outlineLevel="0" collapsed="false">
      <c r="A10" s="5"/>
      <c r="B10" s="156" t="s">
        <v>303</v>
      </c>
      <c r="C10" s="156" t="s">
        <v>304</v>
      </c>
      <c r="D10" s="156" t="s">
        <v>305</v>
      </c>
      <c r="E10" s="157" t="s">
        <v>306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customFormat="false" ht="45" hidden="false" customHeight="true" outlineLevel="0" collapsed="false">
      <c r="A11" s="5"/>
      <c r="B11" s="154" t="s">
        <v>307</v>
      </c>
      <c r="C11" s="154" t="s">
        <v>308</v>
      </c>
      <c r="D11" s="154" t="s">
        <v>309</v>
      </c>
      <c r="E11" s="155" t="s">
        <v>310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customFormat="false" ht="45" hidden="false" customHeight="true" outlineLevel="0" collapsed="false">
      <c r="A12" s="5"/>
      <c r="B12" s="156" t="s">
        <v>311</v>
      </c>
      <c r="C12" s="156" t="s">
        <v>312</v>
      </c>
      <c r="D12" s="156" t="s">
        <v>313</v>
      </c>
      <c r="E12" s="157" t="s">
        <v>314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customFormat="false" ht="45" hidden="false" customHeight="true" outlineLevel="0" collapsed="false">
      <c r="A13" s="5"/>
      <c r="B13" s="154" t="s">
        <v>315</v>
      </c>
      <c r="C13" s="154" t="s">
        <v>316</v>
      </c>
      <c r="D13" s="154" t="s">
        <v>317</v>
      </c>
      <c r="E13" s="155" t="s">
        <v>318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customFormat="false" ht="45" hidden="false" customHeight="true" outlineLevel="0" collapsed="false">
      <c r="A14" s="5"/>
      <c r="B14" s="156" t="s">
        <v>319</v>
      </c>
      <c r="C14" s="156" t="s">
        <v>320</v>
      </c>
      <c r="D14" s="156" t="s">
        <v>321</v>
      </c>
      <c r="E14" s="157" t="s">
        <v>322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customFormat="false" ht="45" hidden="false" customHeight="true" outlineLevel="0" collapsed="false">
      <c r="A15" s="5"/>
      <c r="B15" s="154" t="s">
        <v>323</v>
      </c>
      <c r="C15" s="154" t="s">
        <v>324</v>
      </c>
      <c r="D15" s="154" t="s">
        <v>325</v>
      </c>
      <c r="E15" s="155" t="s">
        <v>326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customFormat="false" ht="45" hidden="false" customHeight="true" outlineLevel="0" collapsed="false">
      <c r="A16" s="5"/>
      <c r="B16" s="156" t="s">
        <v>327</v>
      </c>
      <c r="C16" s="156" t="s">
        <v>292</v>
      </c>
      <c r="D16" s="156" t="s">
        <v>328</v>
      </c>
      <c r="E16" s="157" t="s">
        <v>329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customFormat="false" ht="1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customFormat="false" ht="1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customFormat="false" ht="15" hidden="false" customHeight="true" outlineLevel="0" collapsed="false">
      <c r="A19" s="5"/>
      <c r="B19" s="32" t="s">
        <v>330</v>
      </c>
      <c r="C19" s="32"/>
      <c r="D19" s="32"/>
      <c r="E19" s="32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customFormat="false" ht="15" hidden="false" customHeight="true" outlineLevel="0" collapsed="false">
      <c r="A20" s="5"/>
      <c r="B20" s="22" t="s">
        <v>331</v>
      </c>
      <c r="C20" s="22" t="s">
        <v>332</v>
      </c>
      <c r="D20" s="22" t="s">
        <v>333</v>
      </c>
      <c r="E20" s="22" t="s">
        <v>334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customFormat="false" ht="79.5" hidden="false" customHeight="true" outlineLevel="0" collapsed="false">
      <c r="A21" s="5"/>
      <c r="B21" s="158" t="s">
        <v>335</v>
      </c>
      <c r="C21" s="159" t="s">
        <v>336</v>
      </c>
      <c r="D21" s="154" t="s">
        <v>337</v>
      </c>
      <c r="E21" s="160" t="s">
        <v>338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customFormat="false" ht="79.5" hidden="false" customHeight="true" outlineLevel="0" collapsed="false">
      <c r="A22" s="5"/>
      <c r="B22" s="161" t="s">
        <v>339</v>
      </c>
      <c r="C22" s="162" t="s">
        <v>340</v>
      </c>
      <c r="D22" s="156" t="s">
        <v>341</v>
      </c>
      <c r="E22" s="163" t="s">
        <v>342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customFormat="false" ht="79.5" hidden="false" customHeight="true" outlineLevel="0" collapsed="false">
      <c r="A23" s="5"/>
      <c r="B23" s="158" t="s">
        <v>343</v>
      </c>
      <c r="C23" s="159" t="s">
        <v>344</v>
      </c>
      <c r="D23" s="154" t="s">
        <v>345</v>
      </c>
      <c r="E23" s="160" t="s">
        <v>346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customFormat="false" ht="79.5" hidden="false" customHeight="true" outlineLevel="0" collapsed="false">
      <c r="A24" s="5"/>
      <c r="B24" s="161" t="s">
        <v>347</v>
      </c>
      <c r="C24" s="162" t="s">
        <v>348</v>
      </c>
      <c r="D24" s="156" t="s">
        <v>349</v>
      </c>
      <c r="E24" s="163" t="s">
        <v>350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customFormat="false" ht="1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customFormat="false" ht="1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customFormat="false" ht="15" hidden="false" customHeight="true" outlineLevel="0" collapsed="false">
      <c r="A27" s="5"/>
      <c r="B27" s="32" t="s">
        <v>351</v>
      </c>
      <c r="C27" s="32"/>
      <c r="D27" s="32"/>
      <c r="E27" s="32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customFormat="false" ht="15" hidden="false" customHeight="true" outlineLevel="0" collapsed="false">
      <c r="A28" s="5"/>
      <c r="B28" s="22" t="s">
        <v>352</v>
      </c>
      <c r="C28" s="22" t="s">
        <v>353</v>
      </c>
      <c r="D28" s="22" t="s">
        <v>354</v>
      </c>
      <c r="E28" s="22" t="s">
        <v>355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customFormat="false" ht="54.75" hidden="false" customHeight="true" outlineLevel="0" collapsed="false">
      <c r="A29" s="5"/>
      <c r="B29" s="164" t="s">
        <v>356</v>
      </c>
      <c r="C29" s="154" t="s">
        <v>357</v>
      </c>
      <c r="D29" s="154" t="s">
        <v>358</v>
      </c>
      <c r="E29" s="154" t="s">
        <v>359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customFormat="false" ht="54.75" hidden="false" customHeight="true" outlineLevel="0" collapsed="false">
      <c r="A30" s="5"/>
      <c r="B30" s="165" t="s">
        <v>360</v>
      </c>
      <c r="C30" s="156" t="s">
        <v>361</v>
      </c>
      <c r="D30" s="156" t="s">
        <v>362</v>
      </c>
      <c r="E30" s="156" t="s">
        <v>363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customFormat="false" ht="54.75" hidden="false" customHeight="true" outlineLevel="0" collapsed="false">
      <c r="A31" s="5"/>
      <c r="B31" s="164" t="s">
        <v>364</v>
      </c>
      <c r="C31" s="154" t="s">
        <v>365</v>
      </c>
      <c r="D31" s="154" t="s">
        <v>366</v>
      </c>
      <c r="E31" s="154" t="s">
        <v>367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customFormat="false" ht="54.75" hidden="false" customHeight="true" outlineLevel="0" collapsed="false">
      <c r="A32" s="5"/>
      <c r="B32" s="165" t="s">
        <v>368</v>
      </c>
      <c r="C32" s="156" t="s">
        <v>369</v>
      </c>
      <c r="D32" s="156" t="s">
        <v>370</v>
      </c>
      <c r="E32" s="156" t="s">
        <v>371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customFormat="false" ht="1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customFormat="false" ht="1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customFormat="false" ht="1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customFormat="false" ht="1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customFormat="false" ht="1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customFormat="false" ht="1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customFormat="false" ht="1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customFormat="false" ht="1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customFormat="false" ht="1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customFormat="false" ht="1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customFormat="false" ht="1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customFormat="false" ht="1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customFormat="false" ht="1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customFormat="false" ht="1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customFormat="false" ht="1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customFormat="false" ht="1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customFormat="false" ht="1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customFormat="false" ht="1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customFormat="false" ht="1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customFormat="false" ht="1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customFormat="false" ht="1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customFormat="false" ht="1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customFormat="false" ht="1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customFormat="false" ht="1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customFormat="false" ht="1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customFormat="false" ht="1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customFormat="false" ht="1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customFormat="false" ht="1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customFormat="false" ht="1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customFormat="false" ht="1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customFormat="false" ht="1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customFormat="false" ht="1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customFormat="false" ht="1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customFormat="false" ht="1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customFormat="false" ht="1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customFormat="false" ht="1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customFormat="false" ht="1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customFormat="false" ht="1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customFormat="false" ht="1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customFormat="false" ht="1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customFormat="false" ht="1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customFormat="false" ht="1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customFormat="false" ht="1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customFormat="false" ht="1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customFormat="false" ht="1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customFormat="false" ht="1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customFormat="false" ht="1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customFormat="false" ht="1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customFormat="false" ht="1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customFormat="false" ht="1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customFormat="false" ht="1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customFormat="false" ht="1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customFormat="false" ht="1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customFormat="false" ht="1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customFormat="false" ht="1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customFormat="false" ht="1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customFormat="false" ht="1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customFormat="false" ht="1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customFormat="false" ht="1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customFormat="false" ht="1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customFormat="false" ht="1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customFormat="false" ht="1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customFormat="false" ht="1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customFormat="false" ht="1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customFormat="false" ht="1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customFormat="false" ht="1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customFormat="false" ht="1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customFormat="false" ht="1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customFormat="false" ht="1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customFormat="false" ht="1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customFormat="false" ht="1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customFormat="false" ht="1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customFormat="false" ht="1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customFormat="false" ht="1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customFormat="false" ht="1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customFormat="false" ht="1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customFormat="false" ht="1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customFormat="false" ht="1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customFormat="false" ht="1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customFormat="false" ht="1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customFormat="false" ht="1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customFormat="false" ht="1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customFormat="false" ht="1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customFormat="false" ht="1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customFormat="false" ht="1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customFormat="false" ht="1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customFormat="false" ht="1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customFormat="false" ht="1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customFormat="false" ht="1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customFormat="false" ht="1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customFormat="false" ht="1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customFormat="false" ht="1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customFormat="false" ht="1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customFormat="false" ht="1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customFormat="false" ht="1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customFormat="false" ht="1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customFormat="false" ht="1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customFormat="false" ht="1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customFormat="false" ht="1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customFormat="false" ht="1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customFormat="false" ht="1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customFormat="false" ht="1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customFormat="false" ht="1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customFormat="false" ht="1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customFormat="false" ht="1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customFormat="false" ht="1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customFormat="false" ht="1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customFormat="false" ht="1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customFormat="false" ht="1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customFormat="false" ht="1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customFormat="false" ht="1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customFormat="false" ht="1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customFormat="false" ht="1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customFormat="false" ht="1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customFormat="false" ht="1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customFormat="false" ht="1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customFormat="false" ht="1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customFormat="false" ht="1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customFormat="false" ht="1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customFormat="false" ht="1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customFormat="false" ht="1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customFormat="false" ht="1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customFormat="false" ht="1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customFormat="false" ht="1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customFormat="false" ht="1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customFormat="false" ht="1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customFormat="false" ht="1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customFormat="false" ht="1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customFormat="false" ht="1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customFormat="false" ht="1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customFormat="false" ht="1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customFormat="false" ht="1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customFormat="false" ht="1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customFormat="false" ht="1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customFormat="false" ht="1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customFormat="false" ht="1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customFormat="false" ht="1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customFormat="false" ht="1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customFormat="false" ht="1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customFormat="false" ht="1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customFormat="false" ht="1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customFormat="false" ht="1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customFormat="false" ht="1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customFormat="false" ht="1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customFormat="false" ht="1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customFormat="false" ht="1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customFormat="false" ht="1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customFormat="false" ht="1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customFormat="false" ht="1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customFormat="false" ht="1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customFormat="false" ht="1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customFormat="false" ht="1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customFormat="false" ht="1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customFormat="false" ht="1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customFormat="false" ht="1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customFormat="false" ht="1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customFormat="false" ht="1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customFormat="false" ht="1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customFormat="false" ht="1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customFormat="false" ht="1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customFormat="false" ht="1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customFormat="false" ht="1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customFormat="false" ht="1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customFormat="false" ht="1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customFormat="false" ht="1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customFormat="false" ht="1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customFormat="false" ht="1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customFormat="false" ht="1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</sheetData>
  <mergeCells count="4">
    <mergeCell ref="B3:E3"/>
    <mergeCell ref="B5:E5"/>
    <mergeCell ref="B19:E19"/>
    <mergeCell ref="B27:E27"/>
  </mergeCells>
  <hyperlinks>
    <hyperlink ref="B1" r:id="rId1" location="📊%20Dashboard!A1" display="📊 Dashboard"/>
    <hyperlink ref="D1" r:id="rId2" location="📅%20Calendario!A1" display="📅 Calendario"/>
    <hyperlink ref="F1" r:id="rId3" location="💰%20Finanzas!A1" display="💰 Finanzas"/>
    <hyperlink ref="H1" r:id="rId4" location="🤝%20CRM!A1" display="🤝 CRM"/>
    <hyperlink ref="J1" r:id="rId5" location="🏢%20Clientes!A1" display="🏢 Clientes"/>
    <hyperlink ref="L1" r:id="rId6" location="📈%20Métricas!A1" display="📈 Métrica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A5E9"/>
    <pageSetUpPr fitToPage="false"/>
  </sheetPr>
  <dimension ref="A1:V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6" min="3" style="1" width="18"/>
    <col collapsed="false" customWidth="true" hidden="false" outlineLevel="0" max="7" min="7" style="1" width="16"/>
    <col collapsed="false" customWidth="true" hidden="false" outlineLevel="0" max="8" min="8" style="1" width="12"/>
  </cols>
  <sheetData>
    <row r="1" customFormat="false" ht="21.75" hidden="false" customHeight="true" outlineLevel="0" collapsed="false">
      <c r="A1" s="5"/>
      <c r="B1" s="166" t="s">
        <v>0</v>
      </c>
      <c r="C1" s="2"/>
      <c r="D1" s="166" t="s">
        <v>1</v>
      </c>
      <c r="E1" s="2"/>
      <c r="F1" s="166" t="s">
        <v>2</v>
      </c>
      <c r="G1" s="2"/>
      <c r="H1" s="167" t="s">
        <v>3</v>
      </c>
      <c r="J1" s="166" t="s">
        <v>4</v>
      </c>
      <c r="L1" s="166" t="s">
        <v>5</v>
      </c>
      <c r="N1" s="166" t="s">
        <v>285</v>
      </c>
      <c r="P1" s="168" t="s">
        <v>372</v>
      </c>
      <c r="R1" s="166" t="s">
        <v>373</v>
      </c>
      <c r="T1" s="166" t="s">
        <v>374</v>
      </c>
      <c r="V1" s="166" t="s">
        <v>375</v>
      </c>
    </row>
    <row r="2" customFormat="false" ht="27.75" hidden="false" customHeight="true" outlineLevel="0" collapsed="false">
      <c r="A2" s="5"/>
      <c r="B2" s="169" t="s">
        <v>376</v>
      </c>
      <c r="C2" s="5"/>
      <c r="D2" s="5"/>
      <c r="E2" s="5"/>
      <c r="F2" s="5"/>
      <c r="G2" s="5"/>
      <c r="H2" s="5"/>
    </row>
    <row r="3" customFormat="false" ht="15" hidden="false" customHeight="true" outlineLevel="0" collapsed="false">
      <c r="A3" s="5"/>
      <c r="H3" s="5"/>
    </row>
    <row r="4" customFormat="false" ht="18" hidden="false" customHeight="true" outlineLevel="0" collapsed="false">
      <c r="A4" s="5"/>
      <c r="B4" s="170" t="s">
        <v>377</v>
      </c>
      <c r="C4" s="101"/>
      <c r="D4" s="101"/>
      <c r="E4" s="101"/>
      <c r="F4" s="101"/>
      <c r="G4" s="101"/>
      <c r="H4" s="5"/>
    </row>
    <row r="5" customFormat="false" ht="19.5" hidden="false" customHeight="true" outlineLevel="0" collapsed="false">
      <c r="A5" s="5"/>
      <c r="B5" s="123" t="s">
        <v>378</v>
      </c>
      <c r="C5" s="171"/>
      <c r="D5" s="6"/>
      <c r="E5" s="6"/>
      <c r="F5" s="6"/>
      <c r="G5" s="6"/>
      <c r="H5" s="5"/>
    </row>
    <row r="6" customFormat="false" ht="19.5" hidden="false" customHeight="true" outlineLevel="0" collapsed="false">
      <c r="A6" s="5"/>
      <c r="B6" s="123" t="s">
        <v>379</v>
      </c>
      <c r="C6" s="171"/>
      <c r="D6" s="6"/>
      <c r="E6" s="6"/>
      <c r="F6" s="6"/>
      <c r="G6" s="6"/>
      <c r="H6" s="5"/>
    </row>
    <row r="7" customFormat="false" ht="19.5" hidden="false" customHeight="true" outlineLevel="0" collapsed="false">
      <c r="A7" s="5"/>
      <c r="B7" s="123" t="s">
        <v>380</v>
      </c>
      <c r="C7" s="171"/>
      <c r="D7" s="6"/>
      <c r="E7" s="6"/>
      <c r="F7" s="6"/>
      <c r="G7" s="6"/>
      <c r="H7" s="5"/>
    </row>
    <row r="8" customFormat="false" ht="19.5" hidden="false" customHeight="true" outlineLevel="0" collapsed="false">
      <c r="A8" s="5"/>
      <c r="B8" s="123" t="s">
        <v>381</v>
      </c>
      <c r="C8" s="172" t="n">
        <v>3</v>
      </c>
      <c r="D8" s="6"/>
      <c r="E8" s="6"/>
      <c r="F8" s="6"/>
      <c r="G8" s="6"/>
      <c r="H8" s="5"/>
    </row>
    <row r="9" customFormat="false" ht="19.5" hidden="false" customHeight="true" outlineLevel="0" collapsed="false">
      <c r="A9" s="5"/>
      <c r="B9" s="123" t="s">
        <v>382</v>
      </c>
      <c r="C9" s="173" t="n">
        <v>0</v>
      </c>
      <c r="D9" s="6"/>
      <c r="E9" s="6"/>
      <c r="F9" s="6"/>
      <c r="G9" s="6"/>
      <c r="H9" s="5"/>
    </row>
    <row r="10" customFormat="false" ht="15" hidden="false" customHeight="true" outlineLevel="0" collapsed="false">
      <c r="A10" s="5"/>
      <c r="H10" s="5"/>
    </row>
    <row r="11" customFormat="false" ht="18" hidden="false" customHeight="true" outlineLevel="0" collapsed="false">
      <c r="A11" s="5"/>
      <c r="B11" s="170" t="s">
        <v>383</v>
      </c>
      <c r="C11" s="101"/>
      <c r="D11" s="101"/>
      <c r="E11" s="101"/>
      <c r="F11" s="101"/>
      <c r="G11" s="101"/>
      <c r="H11" s="5"/>
    </row>
    <row r="12" customFormat="false" ht="16.5" hidden="false" customHeight="true" outlineLevel="0" collapsed="false">
      <c r="A12" s="5"/>
      <c r="B12" s="174" t="s">
        <v>139</v>
      </c>
      <c r="C12" s="174" t="s">
        <v>384</v>
      </c>
      <c r="D12" s="174" t="s">
        <v>385</v>
      </c>
      <c r="E12" s="174" t="s">
        <v>386</v>
      </c>
      <c r="F12" s="174" t="s">
        <v>387</v>
      </c>
      <c r="G12" s="174" t="s">
        <v>42</v>
      </c>
      <c r="H12" s="5"/>
    </row>
    <row r="13" customFormat="false" ht="18.75" hidden="false" customHeight="true" outlineLevel="0" collapsed="false">
      <c r="A13" s="5"/>
      <c r="B13" s="175" t="s">
        <v>388</v>
      </c>
      <c r="C13" s="176" t="s">
        <v>84</v>
      </c>
      <c r="D13" s="177" t="n">
        <v>40</v>
      </c>
      <c r="E13" s="178" t="n">
        <v>8000</v>
      </c>
      <c r="F13" s="179" t="n">
        <f aca="false">IF(UPPER(C13)="SÍ",E13*(1+IF($C$8&gt;=6,0.05,0)),0)</f>
        <v>8000</v>
      </c>
      <c r="G13" s="180" t="n">
        <f aca="false">IF(UPPER(C13)="SÍ",0.6,"—")</f>
        <v>0.6</v>
      </c>
      <c r="H13" s="5"/>
    </row>
    <row r="14" customFormat="false" ht="18.75" hidden="false" customHeight="true" outlineLevel="0" collapsed="false">
      <c r="A14" s="5"/>
      <c r="B14" s="181" t="s">
        <v>389</v>
      </c>
      <c r="C14" s="139" t="s">
        <v>94</v>
      </c>
      <c r="D14" s="182" t="n">
        <v>20</v>
      </c>
      <c r="E14" s="183" t="n">
        <v>5000</v>
      </c>
      <c r="F14" s="184" t="n">
        <f aca="false">IF(UPPER(C14)="SÍ",E14*(1+IF($C$8&gt;=6,0.05,0)),0)</f>
        <v>0</v>
      </c>
      <c r="G14" s="185" t="str">
        <f aca="false">IF(UPPER(C14)="SÍ",0.6,"—")</f>
        <v>—</v>
      </c>
      <c r="H14" s="5"/>
    </row>
    <row r="15" customFormat="false" ht="18.75" hidden="false" customHeight="true" outlineLevel="0" collapsed="false">
      <c r="A15" s="5"/>
      <c r="B15" s="175" t="s">
        <v>390</v>
      </c>
      <c r="C15" s="186" t="s">
        <v>94</v>
      </c>
      <c r="D15" s="177" t="n">
        <v>35</v>
      </c>
      <c r="E15" s="178" t="n">
        <v>12000</v>
      </c>
      <c r="F15" s="179" t="n">
        <f aca="false">IF(UPPER(C15)="SÍ",E15*(1+IF($C$8&gt;=6,0.05,0)),0)</f>
        <v>0</v>
      </c>
      <c r="G15" s="180" t="str">
        <f aca="false">IF(UPPER(C15)="SÍ",0.6,"—")</f>
        <v>—</v>
      </c>
      <c r="H15" s="5"/>
    </row>
    <row r="16" customFormat="false" ht="18.75" hidden="false" customHeight="true" outlineLevel="0" collapsed="false">
      <c r="A16" s="5"/>
      <c r="B16" s="181" t="s">
        <v>391</v>
      </c>
      <c r="C16" s="139" t="s">
        <v>94</v>
      </c>
      <c r="D16" s="182" t="n">
        <v>15</v>
      </c>
      <c r="E16" s="183" t="n">
        <v>6000</v>
      </c>
      <c r="F16" s="184" t="n">
        <f aca="false">IF(UPPER(C16)="SÍ",E16*(1+IF($C$8&gt;=6,0.05,0)),0)</f>
        <v>0</v>
      </c>
      <c r="G16" s="185" t="str">
        <f aca="false">IF(UPPER(C16)="SÍ",0.6,"—")</f>
        <v>—</v>
      </c>
      <c r="H16" s="5"/>
    </row>
    <row r="17" customFormat="false" ht="18.75" hidden="false" customHeight="true" outlineLevel="0" collapsed="false">
      <c r="A17" s="5"/>
      <c r="B17" s="175" t="s">
        <v>392</v>
      </c>
      <c r="C17" s="186" t="s">
        <v>94</v>
      </c>
      <c r="D17" s="177" t="n">
        <v>8</v>
      </c>
      <c r="E17" s="178" t="n">
        <v>4000</v>
      </c>
      <c r="F17" s="179" t="n">
        <f aca="false">IF(UPPER(C17)="SÍ",E17*(1+IF($C$8&gt;=6,0.05,0)),0)</f>
        <v>0</v>
      </c>
      <c r="G17" s="180" t="str">
        <f aca="false">IF(UPPER(C17)="SÍ",0.6,"—")</f>
        <v>—</v>
      </c>
      <c r="H17" s="5"/>
    </row>
    <row r="18" customFormat="false" ht="18.75" hidden="false" customHeight="true" outlineLevel="0" collapsed="false">
      <c r="A18" s="5"/>
      <c r="B18" s="181" t="s">
        <v>393</v>
      </c>
      <c r="C18" s="139" t="s">
        <v>94</v>
      </c>
      <c r="D18" s="182" t="n">
        <v>12</v>
      </c>
      <c r="E18" s="183" t="n">
        <v>3500</v>
      </c>
      <c r="F18" s="184" t="n">
        <f aca="false">IF(UPPER(C18)="SÍ",E18*(1+IF($C$8&gt;=6,0.05,0)),0)</f>
        <v>0</v>
      </c>
      <c r="G18" s="185" t="str">
        <f aca="false">IF(UPPER(C18)="SÍ",0.6,"—")</f>
        <v>—</v>
      </c>
      <c r="H18" s="5"/>
    </row>
    <row r="19" customFormat="false" ht="18.75" hidden="false" customHeight="true" outlineLevel="0" collapsed="false">
      <c r="A19" s="5"/>
      <c r="B19" s="175" t="s">
        <v>394</v>
      </c>
      <c r="C19" s="186" t="s">
        <v>94</v>
      </c>
      <c r="D19" s="177" t="n">
        <v>10</v>
      </c>
      <c r="E19" s="178" t="n">
        <v>3000</v>
      </c>
      <c r="F19" s="179" t="n">
        <f aca="false">IF(UPPER(C19)="SÍ",E19*(1+IF($C$8&gt;=6,0.05,0)),0)</f>
        <v>0</v>
      </c>
      <c r="G19" s="180" t="str">
        <f aca="false">IF(UPPER(C19)="SÍ",0.6,"—")</f>
        <v>—</v>
      </c>
      <c r="H19" s="5"/>
    </row>
    <row r="20" customFormat="false" ht="18.75" hidden="false" customHeight="true" outlineLevel="0" collapsed="false">
      <c r="A20" s="5"/>
      <c r="B20" s="181" t="s">
        <v>395</v>
      </c>
      <c r="C20" s="139" t="s">
        <v>94</v>
      </c>
      <c r="D20" s="182" t="n">
        <v>5</v>
      </c>
      <c r="E20" s="183" t="n">
        <v>2000</v>
      </c>
      <c r="F20" s="184" t="n">
        <f aca="false">IF(UPPER(C20)="SÍ",E20*(1+IF($C$8&gt;=6,0.05,0)),0)</f>
        <v>0</v>
      </c>
      <c r="G20" s="185" t="str">
        <f aca="false">IF(UPPER(C20)="SÍ",0.6,"—")</f>
        <v>—</v>
      </c>
      <c r="H20" s="5"/>
    </row>
    <row r="21" customFormat="false" ht="15" hidden="false" customHeight="true" outlineLevel="0" collapsed="false">
      <c r="A21" s="5"/>
      <c r="H21" s="5"/>
    </row>
    <row r="22" customFormat="false" ht="7.5" hidden="false" customHeight="true" outlineLevel="0" collapsed="false">
      <c r="A22" s="5"/>
      <c r="H22" s="5"/>
    </row>
    <row r="23" customFormat="false" ht="18" hidden="false" customHeight="true" outlineLevel="0" collapsed="false">
      <c r="A23" s="5"/>
      <c r="B23" s="170" t="s">
        <v>396</v>
      </c>
      <c r="C23" s="101"/>
      <c r="D23" s="101"/>
      <c r="E23" s="101"/>
      <c r="F23" s="101"/>
      <c r="G23" s="101"/>
      <c r="H23" s="5"/>
    </row>
    <row r="24" customFormat="false" ht="21.75" hidden="false" customHeight="true" outlineLevel="0" collapsed="false">
      <c r="A24" s="5"/>
      <c r="B24" s="123" t="s">
        <v>397</v>
      </c>
      <c r="C24" s="6"/>
      <c r="D24" s="187" t="n">
        <f aca="false">COUNTIF(C13:C20,"Sí")</f>
        <v>1</v>
      </c>
      <c r="E24" s="6"/>
      <c r="F24" s="6"/>
      <c r="G24" s="6"/>
      <c r="H24" s="5"/>
    </row>
    <row r="25" customFormat="false" ht="21.75" hidden="false" customHeight="true" outlineLevel="0" collapsed="false">
      <c r="A25" s="5"/>
      <c r="B25" s="123" t="s">
        <v>398</v>
      </c>
      <c r="C25" s="6"/>
      <c r="D25" s="188" t="n">
        <f aca="false">SUMIF(C13:C20,"Sí",D13:D20)</f>
        <v>40</v>
      </c>
      <c r="E25" s="6"/>
      <c r="F25" s="6"/>
      <c r="G25" s="6"/>
      <c r="H25" s="5"/>
    </row>
    <row r="26" customFormat="false" ht="21.75" hidden="false" customHeight="true" outlineLevel="0" collapsed="false">
      <c r="A26" s="5"/>
      <c r="B26" s="123" t="s">
        <v>399</v>
      </c>
      <c r="C26" s="6"/>
      <c r="D26" s="189" t="n">
        <f aca="false">SUM(F13:F20)</f>
        <v>8000</v>
      </c>
      <c r="E26" s="6"/>
      <c r="F26" s="6"/>
      <c r="G26" s="6"/>
      <c r="H26" s="5"/>
    </row>
    <row r="27" customFormat="false" ht="21.75" hidden="false" customHeight="true" outlineLevel="0" collapsed="false">
      <c r="A27" s="5"/>
      <c r="B27" s="123" t="s">
        <v>382</v>
      </c>
      <c r="C27" s="6"/>
      <c r="D27" s="190" t="n">
        <f aca="false">C9</f>
        <v>0</v>
      </c>
      <c r="E27" s="6"/>
      <c r="F27" s="6"/>
      <c r="G27" s="6"/>
      <c r="H27" s="5"/>
    </row>
    <row r="28" customFormat="false" ht="21.75" hidden="false" customHeight="true" outlineLevel="0" collapsed="false">
      <c r="A28" s="5"/>
      <c r="B28" s="123" t="s">
        <v>400</v>
      </c>
      <c r="C28" s="6"/>
      <c r="D28" s="191" t="n">
        <f aca="false">SUM(F13:F20)+C9</f>
        <v>8000</v>
      </c>
      <c r="E28" s="6"/>
      <c r="F28" s="6"/>
      <c r="G28" s="6"/>
      <c r="H28" s="5"/>
    </row>
    <row r="29" customFormat="false" ht="21.75" hidden="false" customHeight="true" outlineLevel="0" collapsed="false">
      <c r="A29" s="5"/>
      <c r="B29" s="123" t="s">
        <v>401</v>
      </c>
      <c r="C29" s="6"/>
      <c r="D29" s="192" t="n">
        <f aca="false">(SUM(F13:F20)+C9)*C8</f>
        <v>24000</v>
      </c>
      <c r="E29" s="6"/>
      <c r="F29" s="6"/>
      <c r="G29" s="6"/>
      <c r="H29" s="5"/>
    </row>
    <row r="30" customFormat="false" ht="21.75" hidden="false" customHeight="true" outlineLevel="0" collapsed="false">
      <c r="A30" s="5"/>
      <c r="B30" s="123" t="s">
        <v>402</v>
      </c>
      <c r="C30" s="6"/>
      <c r="D30" s="193" t="n">
        <f aca="false">IF(SUMIF(C13:C20,"Sí",D13:D20)&gt;0,SUM(F13:F20)/SUMIF(C13:C20,"Sí",D13:D20),0)</f>
        <v>200</v>
      </c>
      <c r="E30" s="6"/>
      <c r="F30" s="6"/>
      <c r="G30" s="6"/>
      <c r="H30" s="5"/>
    </row>
    <row r="31" customFormat="false" ht="15" hidden="false" customHeight="true" outlineLevel="0" collapsed="false">
      <c r="A31" s="5"/>
      <c r="H31" s="5"/>
    </row>
    <row r="32" customFormat="false" ht="18" hidden="false" customHeight="true" outlineLevel="0" collapsed="false">
      <c r="A32" s="5"/>
      <c r="B32" s="170" t="s">
        <v>403</v>
      </c>
      <c r="C32" s="101"/>
      <c r="D32" s="101"/>
      <c r="E32" s="101"/>
      <c r="F32" s="101"/>
      <c r="G32" s="101"/>
      <c r="H32" s="5"/>
    </row>
    <row r="33" customFormat="false" ht="27.75" hidden="false" customHeight="true" outlineLevel="0" collapsed="false">
      <c r="A33" s="5"/>
      <c r="B33" s="194" t="str">
        <f aca="false">IF(SUM(F13:F20)&gt;=20000,"🥇 PREMIUM — Propuesta de alto valor, enfócate en ROI y resultados comprobados",IF(SUM(F13:F20)&gt;=10000,"🥈 ESTÁNDAR — Paquete sólido, destaca el valor agregado y la experiencia","🥉 STARTER — Ideal para iniciar relación, ofrece escalar en 3 meses"))</f>
        <v>🥉 STARTER — Ideal para iniciar relación, ofrece escalar en 3 meses</v>
      </c>
      <c r="C33" s="194"/>
      <c r="D33" s="194"/>
      <c r="E33" s="194"/>
      <c r="F33" s="194"/>
      <c r="G33" s="194"/>
      <c r="H33" s="194"/>
    </row>
    <row r="34" customFormat="false" ht="15" hidden="false" customHeight="true" outlineLevel="0" collapsed="false">
      <c r="A34" s="5"/>
      <c r="H34" s="5"/>
    </row>
    <row r="35" customFormat="false" ht="15" hidden="false" customHeight="true" outlineLevel="0" collapsed="false">
      <c r="A35" s="5"/>
      <c r="H35" s="5"/>
    </row>
    <row r="36" customFormat="false" ht="15" hidden="false" customHeight="true" outlineLevel="0" collapsed="false">
      <c r="A36" s="5"/>
      <c r="H36" s="5"/>
    </row>
  </sheetData>
  <mergeCells count="1">
    <mergeCell ref="B33:H33"/>
  </mergeCells>
  <dataValidations count="1">
    <dataValidation allowBlank="false" errorStyle="stop" operator="between" showDropDown="false" showErrorMessage="false" showInputMessage="false" sqref="C13:C20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V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6" min="3" style="1" width="16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3"/>
  </cols>
  <sheetData>
    <row r="1" customFormat="false" ht="21.75" hidden="false" customHeight="true" outlineLevel="0" collapsed="false">
      <c r="A1" s="5"/>
      <c r="B1" s="166" t="s">
        <v>0</v>
      </c>
      <c r="C1" s="2"/>
      <c r="D1" s="166" t="s">
        <v>1</v>
      </c>
      <c r="E1" s="2"/>
      <c r="F1" s="166" t="s">
        <v>2</v>
      </c>
      <c r="G1" s="2"/>
      <c r="H1" s="166" t="s">
        <v>3</v>
      </c>
      <c r="I1" s="5"/>
      <c r="J1" s="166" t="s">
        <v>4</v>
      </c>
      <c r="L1" s="166" t="s">
        <v>5</v>
      </c>
      <c r="N1" s="166" t="s">
        <v>285</v>
      </c>
      <c r="P1" s="166" t="s">
        <v>372</v>
      </c>
      <c r="R1" s="168" t="s">
        <v>373</v>
      </c>
      <c r="T1" s="166" t="s">
        <v>374</v>
      </c>
      <c r="V1" s="166" t="s">
        <v>375</v>
      </c>
    </row>
    <row r="2" customFormat="false" ht="30" hidden="false" customHeight="true" outlineLevel="0" collapsed="false">
      <c r="A2" s="5"/>
      <c r="B2" s="195" t="s">
        <v>404</v>
      </c>
      <c r="C2" s="5"/>
      <c r="D2" s="5"/>
      <c r="E2" s="5"/>
      <c r="F2" s="5"/>
      <c r="G2" s="5"/>
      <c r="H2" s="5"/>
      <c r="I2" s="5"/>
    </row>
    <row r="3" customFormat="false" ht="15" hidden="false" customHeight="true" outlineLevel="0" collapsed="false">
      <c r="A3" s="5"/>
      <c r="I3" s="5"/>
    </row>
    <row r="4" customFormat="false" ht="19.5" hidden="false" customHeight="true" outlineLevel="0" collapsed="false">
      <c r="A4" s="5"/>
      <c r="B4" s="123" t="s">
        <v>405</v>
      </c>
      <c r="C4" s="196" t="s">
        <v>23</v>
      </c>
      <c r="D4" s="6"/>
      <c r="E4" s="6"/>
      <c r="F4" s="6"/>
      <c r="G4" s="6"/>
      <c r="H4" s="6"/>
      <c r="I4" s="5"/>
    </row>
    <row r="5" customFormat="false" ht="19.5" hidden="false" customHeight="true" outlineLevel="0" collapsed="false">
      <c r="A5" s="5"/>
      <c r="B5" s="123" t="s">
        <v>406</v>
      </c>
      <c r="C5" s="196" t="s">
        <v>407</v>
      </c>
      <c r="D5" s="6"/>
      <c r="E5" s="6"/>
      <c r="F5" s="6"/>
      <c r="G5" s="6"/>
      <c r="H5" s="6"/>
      <c r="I5" s="5"/>
    </row>
    <row r="6" customFormat="false" ht="15" hidden="false" customHeight="true" outlineLevel="0" collapsed="false">
      <c r="A6" s="5"/>
      <c r="I6" s="5"/>
    </row>
    <row r="7" customFormat="false" ht="18" hidden="false" customHeight="true" outlineLevel="0" collapsed="false">
      <c r="A7" s="5"/>
      <c r="B7" s="170" t="s">
        <v>408</v>
      </c>
      <c r="C7" s="101"/>
      <c r="D7" s="101"/>
      <c r="E7" s="101"/>
      <c r="F7" s="101"/>
      <c r="G7" s="101"/>
      <c r="H7" s="101"/>
      <c r="I7" s="5"/>
    </row>
    <row r="8" customFormat="false" ht="21" hidden="false" customHeight="true" outlineLevel="0" collapsed="false">
      <c r="A8" s="5"/>
      <c r="B8" s="123" t="s">
        <v>409</v>
      </c>
      <c r="C8" s="197" t="n">
        <v>0</v>
      </c>
      <c r="D8" s="6"/>
      <c r="E8" s="123" t="s">
        <v>410</v>
      </c>
      <c r="F8" s="198" t="n">
        <v>0</v>
      </c>
      <c r="G8" s="6"/>
      <c r="H8" s="6"/>
      <c r="I8" s="5"/>
    </row>
    <row r="9" customFormat="false" ht="21" hidden="false" customHeight="true" outlineLevel="0" collapsed="false">
      <c r="A9" s="5"/>
      <c r="B9" s="123" t="s">
        <v>411</v>
      </c>
      <c r="C9" s="199" t="n">
        <v>0</v>
      </c>
      <c r="D9" s="6"/>
      <c r="E9" s="123" t="s">
        <v>412</v>
      </c>
      <c r="F9" s="200" t="n">
        <v>0</v>
      </c>
      <c r="G9" s="6"/>
      <c r="H9" s="6"/>
      <c r="I9" s="5"/>
    </row>
    <row r="10" customFormat="false" ht="21" hidden="false" customHeight="true" outlineLevel="0" collapsed="false">
      <c r="A10" s="5"/>
      <c r="B10" s="123" t="s">
        <v>413</v>
      </c>
      <c r="C10" s="198" t="n">
        <v>0</v>
      </c>
      <c r="D10" s="6"/>
      <c r="E10" s="123" t="s">
        <v>414</v>
      </c>
      <c r="F10" s="201" t="n">
        <v>0</v>
      </c>
      <c r="G10" s="6"/>
      <c r="H10" s="6"/>
      <c r="I10" s="5"/>
    </row>
    <row r="11" customFormat="false" ht="21" hidden="false" customHeight="true" outlineLevel="0" collapsed="false">
      <c r="A11" s="5"/>
      <c r="B11" s="123" t="s">
        <v>415</v>
      </c>
      <c r="C11" s="202" t="n">
        <v>0</v>
      </c>
      <c r="D11" s="6"/>
      <c r="E11" s="123" t="s">
        <v>416</v>
      </c>
      <c r="F11" s="203" t="n">
        <v>0</v>
      </c>
      <c r="G11" s="6"/>
      <c r="H11" s="6"/>
      <c r="I11" s="5"/>
    </row>
    <row r="12" customFormat="false" ht="21" hidden="false" customHeight="true" outlineLevel="0" collapsed="false">
      <c r="A12" s="5"/>
      <c r="B12" s="123" t="s">
        <v>417</v>
      </c>
      <c r="C12" s="204" t="n">
        <v>0</v>
      </c>
      <c r="D12" s="6"/>
      <c r="E12" s="123" t="s">
        <v>60</v>
      </c>
      <c r="F12" s="197" t="n">
        <v>0</v>
      </c>
      <c r="G12" s="6"/>
      <c r="H12" s="6"/>
      <c r="I12" s="5"/>
    </row>
    <row r="13" customFormat="false" ht="21" hidden="false" customHeight="true" outlineLevel="0" collapsed="false">
      <c r="A13" s="5"/>
      <c r="B13" s="123" t="s">
        <v>418</v>
      </c>
      <c r="C13" s="205" t="n">
        <v>0</v>
      </c>
      <c r="D13" s="6"/>
      <c r="E13" s="123" t="s">
        <v>419</v>
      </c>
      <c r="F13" s="206" t="n">
        <v>0</v>
      </c>
      <c r="G13" s="6"/>
      <c r="H13" s="6"/>
      <c r="I13" s="5"/>
    </row>
    <row r="14" customFormat="false" ht="15" hidden="false" customHeight="true" outlineLevel="0" collapsed="false">
      <c r="A14" s="5"/>
      <c r="I14" s="5"/>
    </row>
    <row r="15" customFormat="false" ht="18" hidden="false" customHeight="true" outlineLevel="0" collapsed="false">
      <c r="A15" s="5"/>
      <c r="B15" s="170" t="s">
        <v>420</v>
      </c>
      <c r="C15" s="101"/>
      <c r="D15" s="101"/>
      <c r="E15" s="101"/>
      <c r="F15" s="101"/>
      <c r="G15" s="101"/>
      <c r="H15" s="101"/>
      <c r="I15" s="5"/>
    </row>
    <row r="16" customFormat="false" ht="15.75" hidden="false" customHeight="true" outlineLevel="0" collapsed="false">
      <c r="A16" s="5"/>
      <c r="B16" s="207" t="s">
        <v>421</v>
      </c>
      <c r="C16" s="207" t="s">
        <v>69</v>
      </c>
      <c r="D16" s="207" t="s">
        <v>264</v>
      </c>
      <c r="E16" s="207" t="s">
        <v>216</v>
      </c>
      <c r="F16" s="207" t="s">
        <v>267</v>
      </c>
      <c r="G16" s="207" t="s">
        <v>175</v>
      </c>
      <c r="I16" s="5"/>
    </row>
    <row r="17" customFormat="false" ht="19.5" hidden="false" customHeight="true" outlineLevel="0" collapsed="false">
      <c r="A17" s="5"/>
      <c r="B17" s="208" t="s">
        <v>422</v>
      </c>
      <c r="C17" s="6"/>
      <c r="D17" s="209"/>
      <c r="E17" s="210"/>
      <c r="F17" s="209"/>
      <c r="G17" s="6"/>
      <c r="H17" s="6"/>
      <c r="I17" s="5"/>
    </row>
    <row r="18" customFormat="false" ht="19.5" hidden="false" customHeight="true" outlineLevel="0" collapsed="false">
      <c r="A18" s="5"/>
      <c r="B18" s="211" t="s">
        <v>423</v>
      </c>
      <c r="C18" s="101"/>
      <c r="D18" s="212"/>
      <c r="E18" s="105"/>
      <c r="F18" s="212"/>
      <c r="G18" s="101"/>
      <c r="H18" s="101"/>
      <c r="I18" s="5"/>
    </row>
    <row r="19" customFormat="false" ht="19.5" hidden="false" customHeight="true" outlineLevel="0" collapsed="false">
      <c r="A19" s="5"/>
      <c r="B19" s="208" t="s">
        <v>424</v>
      </c>
      <c r="C19" s="6"/>
      <c r="D19" s="209"/>
      <c r="E19" s="210"/>
      <c r="F19" s="209"/>
      <c r="G19" s="6"/>
      <c r="H19" s="6"/>
      <c r="I19" s="5"/>
    </row>
    <row r="20" customFormat="false" ht="15" hidden="false" customHeight="true" outlineLevel="0" collapsed="false">
      <c r="A20" s="5"/>
      <c r="I20" s="5"/>
    </row>
    <row r="21" customFormat="false" ht="18" hidden="false" customHeight="true" outlineLevel="0" collapsed="false">
      <c r="A21" s="5"/>
      <c r="B21" s="170" t="s">
        <v>425</v>
      </c>
      <c r="C21" s="101"/>
      <c r="D21" s="101"/>
      <c r="E21" s="101"/>
      <c r="F21" s="101"/>
      <c r="G21" s="101"/>
      <c r="H21" s="101"/>
      <c r="I21" s="5"/>
    </row>
    <row r="22" customFormat="false" ht="15.75" hidden="false" customHeight="true" outlineLevel="0" collapsed="false">
      <c r="A22" s="5"/>
      <c r="B22" s="213" t="s">
        <v>426</v>
      </c>
      <c r="C22" s="6"/>
      <c r="D22" s="6"/>
      <c r="E22" s="6"/>
      <c r="F22" s="6"/>
      <c r="G22" s="6"/>
      <c r="H22" s="6"/>
      <c r="I22" s="5"/>
    </row>
    <row r="23" customFormat="false" ht="27.75" hidden="false" customHeight="true" outlineLevel="0" collapsed="false">
      <c r="A23" s="5"/>
      <c r="B23" s="214" t="s">
        <v>427</v>
      </c>
      <c r="C23" s="214"/>
      <c r="D23" s="214"/>
      <c r="E23" s="214"/>
      <c r="F23" s="214"/>
      <c r="G23" s="214"/>
      <c r="H23" s="214"/>
      <c r="I23" s="215"/>
    </row>
    <row r="24" customFormat="false" ht="15.75" hidden="false" customHeight="true" outlineLevel="0" collapsed="false">
      <c r="A24" s="5"/>
      <c r="B24" s="213" t="s">
        <v>428</v>
      </c>
      <c r="C24" s="6"/>
      <c r="D24" s="6"/>
      <c r="E24" s="6"/>
      <c r="F24" s="6"/>
      <c r="G24" s="6"/>
      <c r="H24" s="6"/>
      <c r="I24" s="5"/>
    </row>
    <row r="25" customFormat="false" ht="27.75" hidden="false" customHeight="true" outlineLevel="0" collapsed="false">
      <c r="A25" s="5"/>
      <c r="B25" s="214" t="s">
        <v>427</v>
      </c>
      <c r="C25" s="214"/>
      <c r="D25" s="214"/>
      <c r="E25" s="214"/>
      <c r="F25" s="214"/>
      <c r="G25" s="214"/>
      <c r="H25" s="214"/>
      <c r="I25" s="215"/>
    </row>
    <row r="26" customFormat="false" ht="15.75" hidden="false" customHeight="true" outlineLevel="0" collapsed="false">
      <c r="A26" s="5"/>
      <c r="B26" s="213" t="s">
        <v>429</v>
      </c>
      <c r="C26" s="6"/>
      <c r="D26" s="6"/>
      <c r="E26" s="6"/>
      <c r="F26" s="6"/>
      <c r="G26" s="6"/>
      <c r="H26" s="6"/>
      <c r="I26" s="5"/>
    </row>
    <row r="27" customFormat="false" ht="27.75" hidden="false" customHeight="true" outlineLevel="0" collapsed="false">
      <c r="A27" s="5"/>
      <c r="B27" s="214" t="s">
        <v>427</v>
      </c>
      <c r="C27" s="214"/>
      <c r="D27" s="214"/>
      <c r="E27" s="214"/>
      <c r="F27" s="214"/>
      <c r="G27" s="214"/>
      <c r="H27" s="214"/>
      <c r="I27" s="215"/>
    </row>
    <row r="28" customFormat="false" ht="15.75" hidden="false" customHeight="true" outlineLevel="0" collapsed="false">
      <c r="A28" s="5"/>
      <c r="B28" s="213" t="s">
        <v>430</v>
      </c>
      <c r="C28" s="6"/>
      <c r="D28" s="6"/>
      <c r="E28" s="6"/>
      <c r="F28" s="6"/>
      <c r="G28" s="6"/>
      <c r="H28" s="6"/>
      <c r="I28" s="5"/>
    </row>
    <row r="29" customFormat="false" ht="27.75" hidden="false" customHeight="true" outlineLevel="0" collapsed="false">
      <c r="A29" s="5"/>
      <c r="B29" s="214" t="s">
        <v>427</v>
      </c>
      <c r="C29" s="214"/>
      <c r="D29" s="214"/>
      <c r="E29" s="214"/>
      <c r="F29" s="214"/>
      <c r="G29" s="214"/>
      <c r="H29" s="214"/>
      <c r="I29" s="215"/>
    </row>
    <row r="30" customFormat="false" ht="18" hidden="false" customHeight="true" outlineLevel="0" collapsed="false">
      <c r="A30" s="5"/>
      <c r="B30" s="170" t="s">
        <v>431</v>
      </c>
      <c r="C30" s="101"/>
      <c r="D30" s="101"/>
      <c r="E30" s="101"/>
      <c r="F30" s="101"/>
      <c r="G30" s="101"/>
      <c r="H30" s="101"/>
      <c r="I30" s="5"/>
    </row>
    <row r="31" customFormat="false" ht="19.5" hidden="false" customHeight="true" outlineLevel="0" collapsed="false">
      <c r="A31" s="5"/>
      <c r="B31" s="175" t="s">
        <v>432</v>
      </c>
      <c r="C31" s="6"/>
      <c r="D31" s="216" t="s">
        <v>433</v>
      </c>
      <c r="E31" s="6"/>
      <c r="F31" s="6"/>
      <c r="G31" s="6"/>
      <c r="H31" s="6"/>
      <c r="I31" s="5"/>
    </row>
    <row r="32" customFormat="false" ht="19.5" hidden="false" customHeight="true" outlineLevel="0" collapsed="false">
      <c r="A32" s="5"/>
      <c r="B32" s="175" t="s">
        <v>434</v>
      </c>
      <c r="C32" s="6"/>
      <c r="D32" s="216" t="s">
        <v>433</v>
      </c>
      <c r="E32" s="6"/>
      <c r="F32" s="6"/>
      <c r="G32" s="6"/>
      <c r="H32" s="6"/>
      <c r="I32" s="5"/>
    </row>
    <row r="33" customFormat="false" ht="19.5" hidden="false" customHeight="true" outlineLevel="0" collapsed="false">
      <c r="A33" s="5"/>
      <c r="B33" s="175" t="s">
        <v>435</v>
      </c>
      <c r="C33" s="6"/>
      <c r="D33" s="216" t="s">
        <v>433</v>
      </c>
      <c r="E33" s="6"/>
      <c r="F33" s="6"/>
      <c r="G33" s="6"/>
      <c r="H33" s="6"/>
      <c r="I33" s="5"/>
    </row>
    <row r="34" customFormat="false" ht="19.5" hidden="false" customHeight="true" outlineLevel="0" collapsed="false">
      <c r="A34" s="5"/>
      <c r="B34" s="175" t="s">
        <v>436</v>
      </c>
      <c r="C34" s="6"/>
      <c r="D34" s="216" t="s">
        <v>433</v>
      </c>
      <c r="E34" s="6"/>
      <c r="F34" s="6"/>
      <c r="G34" s="6"/>
      <c r="H34" s="6"/>
      <c r="I34" s="5"/>
    </row>
    <row r="35" customFormat="false" ht="15" hidden="false" customHeight="true" outlineLevel="0" collapsed="false">
      <c r="A35" s="5"/>
      <c r="I35" s="5"/>
    </row>
    <row r="36" customFormat="false" ht="15" hidden="false" customHeight="true" outlineLevel="0" collapsed="false">
      <c r="A36" s="5"/>
      <c r="I36" s="5"/>
    </row>
    <row r="37" customFormat="false" ht="15" hidden="false" customHeight="true" outlineLevel="0" collapsed="false">
      <c r="A37" s="5"/>
      <c r="I37" s="5"/>
    </row>
  </sheetData>
  <mergeCells count="4">
    <mergeCell ref="B23:H23"/>
    <mergeCell ref="B25:H25"/>
    <mergeCell ref="B27:H27"/>
    <mergeCell ref="B29:H29"/>
  </mergeCells>
  <dataValidations count="4">
    <dataValidation allowBlank="false" errorStyle="stop" operator="between" showDropDown="false" showErrorMessage="false" showInputMessage="false" sqref="D31" type="list">
      <formula1>"✅ Logrado,⚠️ Parcial,❌ No logrado,⬜ Pendiente"</formula1>
      <formula2>0</formula2>
    </dataValidation>
    <dataValidation allowBlank="false" errorStyle="stop" operator="between" showDropDown="false" showErrorMessage="false" showInputMessage="false" sqref="D32" type="list">
      <formula1>"✅ Logrado,⚠️ Parcial,❌ No logrado,⬜ Pendiente"</formula1>
      <formula2>0</formula2>
    </dataValidation>
    <dataValidation allowBlank="false" errorStyle="stop" operator="between" showDropDown="false" showErrorMessage="false" showInputMessage="false" sqref="D33" type="list">
      <formula1>"✅ Logrado,⚠️ Parcial,❌ No logrado,⬜ Pendiente"</formula1>
      <formula2>0</formula2>
    </dataValidation>
    <dataValidation allowBlank="false" errorStyle="stop" operator="between" showDropDown="false" showErrorMessage="false" showInputMessage="false" sqref="D34" type="list">
      <formula1>"✅ Logrado,⚠️ Parcial,❌ No logrado,⬜ 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BBF24"/>
    <pageSetUpPr fitToPage="false"/>
  </sheetPr>
  <dimension ref="A1:V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5" min="3" style="1" width="14"/>
    <col collapsed="false" customWidth="true" hidden="false" outlineLevel="0" max="6" min="6" style="1" width="18"/>
    <col collapsed="false" customWidth="true" hidden="false" outlineLevel="0" max="7" min="7" style="1" width="12"/>
    <col collapsed="false" customWidth="true" hidden="false" outlineLevel="0" max="8" min="8" style="1" width="3"/>
  </cols>
  <sheetData>
    <row r="1" customFormat="false" ht="21.75" hidden="false" customHeight="true" outlineLevel="0" collapsed="false">
      <c r="A1" s="5"/>
      <c r="B1" s="166" t="s">
        <v>0</v>
      </c>
      <c r="C1" s="2"/>
      <c r="D1" s="166" t="s">
        <v>1</v>
      </c>
      <c r="E1" s="2"/>
      <c r="F1" s="166" t="s">
        <v>2</v>
      </c>
      <c r="G1" s="2"/>
      <c r="H1" s="167" t="s">
        <v>3</v>
      </c>
      <c r="J1" s="166" t="s">
        <v>4</v>
      </c>
      <c r="L1" s="166" t="s">
        <v>5</v>
      </c>
      <c r="N1" s="166" t="s">
        <v>285</v>
      </c>
      <c r="P1" s="166" t="s">
        <v>372</v>
      </c>
      <c r="R1" s="166" t="s">
        <v>373</v>
      </c>
      <c r="T1" s="168" t="s">
        <v>374</v>
      </c>
      <c r="V1" s="166" t="s">
        <v>375</v>
      </c>
    </row>
    <row r="2" customFormat="false" ht="27.75" hidden="false" customHeight="true" outlineLevel="0" collapsed="false">
      <c r="A2" s="5"/>
      <c r="B2" s="195" t="s">
        <v>437</v>
      </c>
      <c r="C2" s="5"/>
      <c r="D2" s="5"/>
      <c r="E2" s="5"/>
      <c r="F2" s="5"/>
      <c r="G2" s="5"/>
      <c r="H2" s="5"/>
    </row>
    <row r="3" customFormat="false" ht="15.75" hidden="false" customHeight="true" outlineLevel="0" collapsed="false">
      <c r="A3" s="5"/>
      <c r="B3" s="217" t="s">
        <v>438</v>
      </c>
      <c r="C3" s="5"/>
      <c r="D3" s="5"/>
      <c r="E3" s="5"/>
      <c r="F3" s="5"/>
      <c r="G3" s="5"/>
      <c r="H3" s="5"/>
    </row>
    <row r="4" customFormat="false" ht="15" hidden="false" customHeight="true" outlineLevel="0" collapsed="false">
      <c r="A4" s="5"/>
      <c r="H4" s="5"/>
    </row>
    <row r="5" customFormat="false" ht="18" hidden="false" customHeight="true" outlineLevel="0" collapsed="false">
      <c r="A5" s="5"/>
      <c r="B5" s="174" t="s">
        <v>439</v>
      </c>
      <c r="C5" s="174" t="s">
        <v>228</v>
      </c>
      <c r="D5" s="174" t="s">
        <v>69</v>
      </c>
      <c r="E5" s="174" t="s">
        <v>352</v>
      </c>
      <c r="F5" s="174" t="s">
        <v>440</v>
      </c>
      <c r="G5" s="174" t="s">
        <v>170</v>
      </c>
      <c r="H5" s="5"/>
    </row>
    <row r="6" customFormat="false" ht="18" hidden="false" customHeight="true" outlineLevel="0" collapsed="false">
      <c r="A6" s="5"/>
      <c r="B6" s="175" t="s">
        <v>441</v>
      </c>
      <c r="C6" s="175" t="s">
        <v>442</v>
      </c>
      <c r="D6" s="175" t="s">
        <v>443</v>
      </c>
      <c r="E6" s="175" t="s">
        <v>444</v>
      </c>
      <c r="F6" s="65" t="s">
        <v>445</v>
      </c>
      <c r="G6" s="218" t="s">
        <v>446</v>
      </c>
      <c r="H6" s="5"/>
    </row>
    <row r="7" customFormat="false" ht="18" hidden="false" customHeight="true" outlineLevel="0" collapsed="false">
      <c r="A7" s="5"/>
      <c r="B7" s="181" t="s">
        <v>447</v>
      </c>
      <c r="C7" s="181" t="s">
        <v>442</v>
      </c>
      <c r="D7" s="181" t="s">
        <v>88</v>
      </c>
      <c r="E7" s="181" t="s">
        <v>448</v>
      </c>
      <c r="F7" s="219" t="s">
        <v>449</v>
      </c>
      <c r="G7" s="220" t="s">
        <v>446</v>
      </c>
      <c r="H7" s="5"/>
    </row>
    <row r="8" customFormat="false" ht="18" hidden="false" customHeight="true" outlineLevel="0" collapsed="false">
      <c r="A8" s="5"/>
      <c r="B8" s="175" t="s">
        <v>450</v>
      </c>
      <c r="C8" s="175" t="s">
        <v>442</v>
      </c>
      <c r="D8" s="175" t="s">
        <v>443</v>
      </c>
      <c r="E8" s="175" t="s">
        <v>451</v>
      </c>
      <c r="F8" s="65" t="s">
        <v>452</v>
      </c>
      <c r="G8" s="218" t="s">
        <v>446</v>
      </c>
      <c r="H8" s="5"/>
    </row>
    <row r="9" customFormat="false" ht="18" hidden="false" customHeight="true" outlineLevel="0" collapsed="false">
      <c r="A9" s="5"/>
      <c r="B9" s="181" t="s">
        <v>453</v>
      </c>
      <c r="C9" s="181" t="s">
        <v>442</v>
      </c>
      <c r="D9" s="181" t="s">
        <v>88</v>
      </c>
      <c r="E9" s="181" t="s">
        <v>448</v>
      </c>
      <c r="F9" s="219" t="s">
        <v>454</v>
      </c>
      <c r="G9" s="221" t="s">
        <v>455</v>
      </c>
      <c r="H9" s="5"/>
    </row>
    <row r="10" customFormat="false" ht="18" hidden="false" customHeight="true" outlineLevel="0" collapsed="false">
      <c r="A10" s="5"/>
      <c r="B10" s="175" t="s">
        <v>456</v>
      </c>
      <c r="C10" s="175" t="s">
        <v>442</v>
      </c>
      <c r="D10" s="175" t="s">
        <v>457</v>
      </c>
      <c r="E10" s="175" t="s">
        <v>458</v>
      </c>
      <c r="F10" s="65" t="s">
        <v>459</v>
      </c>
      <c r="G10" s="218" t="s">
        <v>446</v>
      </c>
      <c r="H10" s="5"/>
    </row>
    <row r="11" customFormat="false" ht="18" hidden="false" customHeight="true" outlineLevel="0" collapsed="false">
      <c r="A11" s="5"/>
      <c r="B11" s="181" t="s">
        <v>460</v>
      </c>
      <c r="C11" s="181" t="s">
        <v>442</v>
      </c>
      <c r="D11" s="181" t="s">
        <v>443</v>
      </c>
      <c r="E11" s="181" t="s">
        <v>461</v>
      </c>
      <c r="F11" s="219" t="s">
        <v>462</v>
      </c>
      <c r="G11" s="221" t="s">
        <v>455</v>
      </c>
      <c r="H11" s="5"/>
    </row>
    <row r="12" customFormat="false" ht="18" hidden="false" customHeight="true" outlineLevel="0" collapsed="false">
      <c r="A12" s="5"/>
      <c r="B12" s="175" t="s">
        <v>463</v>
      </c>
      <c r="C12" s="175" t="s">
        <v>442</v>
      </c>
      <c r="D12" s="175" t="s">
        <v>88</v>
      </c>
      <c r="E12" s="175" t="s">
        <v>448</v>
      </c>
      <c r="F12" s="65" t="s">
        <v>464</v>
      </c>
      <c r="G12" s="222" t="s">
        <v>455</v>
      </c>
      <c r="H12" s="5"/>
    </row>
    <row r="13" customFormat="false" ht="18" hidden="false" customHeight="true" outlineLevel="0" collapsed="false">
      <c r="A13" s="5"/>
      <c r="B13" s="181" t="s">
        <v>465</v>
      </c>
      <c r="C13" s="181" t="s">
        <v>442</v>
      </c>
      <c r="D13" s="181" t="s">
        <v>88</v>
      </c>
      <c r="E13" s="181" t="s">
        <v>466</v>
      </c>
      <c r="F13" s="219" t="s">
        <v>467</v>
      </c>
      <c r="G13" s="221" t="s">
        <v>455</v>
      </c>
      <c r="H13" s="5"/>
    </row>
    <row r="14" customFormat="false" ht="18" hidden="false" customHeight="true" outlineLevel="0" collapsed="false">
      <c r="A14" s="5"/>
      <c r="B14" s="175" t="s">
        <v>468</v>
      </c>
      <c r="C14" s="175" t="s">
        <v>469</v>
      </c>
      <c r="D14" s="175" t="s">
        <v>443</v>
      </c>
      <c r="E14" s="175" t="s">
        <v>451</v>
      </c>
      <c r="F14" s="65" t="s">
        <v>470</v>
      </c>
      <c r="G14" s="218" t="s">
        <v>446</v>
      </c>
      <c r="H14" s="5"/>
    </row>
    <row r="15" customFormat="false" ht="18" hidden="false" customHeight="true" outlineLevel="0" collapsed="false">
      <c r="A15" s="5"/>
      <c r="B15" s="181" t="s">
        <v>471</v>
      </c>
      <c r="C15" s="181" t="s">
        <v>469</v>
      </c>
      <c r="D15" s="181" t="s">
        <v>443</v>
      </c>
      <c r="E15" s="181" t="s">
        <v>472</v>
      </c>
      <c r="F15" s="219" t="s">
        <v>473</v>
      </c>
      <c r="G15" s="220" t="s">
        <v>446</v>
      </c>
      <c r="H15" s="5"/>
    </row>
    <row r="16" customFormat="false" ht="18" hidden="false" customHeight="true" outlineLevel="0" collapsed="false">
      <c r="A16" s="5"/>
      <c r="B16" s="175" t="s">
        <v>474</v>
      </c>
      <c r="C16" s="175" t="s">
        <v>469</v>
      </c>
      <c r="D16" s="175" t="s">
        <v>88</v>
      </c>
      <c r="E16" s="175" t="s">
        <v>466</v>
      </c>
      <c r="F16" s="65" t="s">
        <v>475</v>
      </c>
      <c r="G16" s="222" t="s">
        <v>455</v>
      </c>
      <c r="H16" s="5"/>
    </row>
    <row r="17" customFormat="false" ht="18" hidden="false" customHeight="true" outlineLevel="0" collapsed="false">
      <c r="A17" s="5"/>
      <c r="B17" s="181" t="s">
        <v>476</v>
      </c>
      <c r="C17" s="181" t="s">
        <v>469</v>
      </c>
      <c r="D17" s="181" t="s">
        <v>443</v>
      </c>
      <c r="E17" s="181" t="s">
        <v>477</v>
      </c>
      <c r="F17" s="219" t="s">
        <v>478</v>
      </c>
      <c r="G17" s="220" t="s">
        <v>446</v>
      </c>
      <c r="H17" s="5"/>
    </row>
    <row r="18" customFormat="false" ht="18" hidden="false" customHeight="true" outlineLevel="0" collapsed="false">
      <c r="A18" s="5"/>
      <c r="B18" s="175" t="s">
        <v>479</v>
      </c>
      <c r="C18" s="175" t="s">
        <v>469</v>
      </c>
      <c r="D18" s="175" t="s">
        <v>88</v>
      </c>
      <c r="E18" s="175" t="s">
        <v>448</v>
      </c>
      <c r="F18" s="65" t="s">
        <v>480</v>
      </c>
      <c r="G18" s="222" t="s">
        <v>455</v>
      </c>
      <c r="H18" s="5"/>
    </row>
    <row r="19" customFormat="false" ht="18" hidden="false" customHeight="true" outlineLevel="0" collapsed="false">
      <c r="A19" s="5"/>
      <c r="B19" s="181" t="s">
        <v>481</v>
      </c>
      <c r="C19" s="181" t="s">
        <v>469</v>
      </c>
      <c r="D19" s="181" t="s">
        <v>457</v>
      </c>
      <c r="E19" s="181" t="s">
        <v>461</v>
      </c>
      <c r="F19" s="219" t="s">
        <v>482</v>
      </c>
      <c r="G19" s="220" t="s">
        <v>446</v>
      </c>
      <c r="H19" s="5"/>
    </row>
    <row r="20" customFormat="false" ht="18" hidden="false" customHeight="true" outlineLevel="0" collapsed="false">
      <c r="A20" s="5"/>
      <c r="B20" s="175" t="s">
        <v>483</v>
      </c>
      <c r="C20" s="175" t="s">
        <v>469</v>
      </c>
      <c r="D20" s="175" t="s">
        <v>283</v>
      </c>
      <c r="E20" s="175" t="s">
        <v>458</v>
      </c>
      <c r="F20" s="65" t="s">
        <v>484</v>
      </c>
      <c r="G20" s="222" t="s">
        <v>455</v>
      </c>
      <c r="H20" s="5"/>
    </row>
    <row r="21" customFormat="false" ht="18" hidden="false" customHeight="true" outlineLevel="0" collapsed="false">
      <c r="A21" s="5"/>
      <c r="B21" s="181" t="s">
        <v>485</v>
      </c>
      <c r="C21" s="181" t="s">
        <v>469</v>
      </c>
      <c r="D21" s="181" t="s">
        <v>88</v>
      </c>
      <c r="E21" s="181" t="s">
        <v>448</v>
      </c>
      <c r="F21" s="219" t="s">
        <v>486</v>
      </c>
      <c r="G21" s="223" t="s">
        <v>487</v>
      </c>
      <c r="H21" s="5"/>
    </row>
    <row r="22" customFormat="false" ht="18" hidden="false" customHeight="true" outlineLevel="0" collapsed="false">
      <c r="A22" s="5"/>
      <c r="B22" s="175" t="s">
        <v>488</v>
      </c>
      <c r="C22" s="175" t="s">
        <v>489</v>
      </c>
      <c r="D22" s="175" t="s">
        <v>443</v>
      </c>
      <c r="E22" s="175" t="s">
        <v>490</v>
      </c>
      <c r="F22" s="65" t="s">
        <v>491</v>
      </c>
      <c r="G22" s="218" t="s">
        <v>446</v>
      </c>
      <c r="H22" s="5"/>
    </row>
    <row r="23" customFormat="false" ht="18" hidden="false" customHeight="true" outlineLevel="0" collapsed="false">
      <c r="A23" s="5"/>
      <c r="B23" s="181" t="s">
        <v>492</v>
      </c>
      <c r="C23" s="181" t="s">
        <v>489</v>
      </c>
      <c r="D23" s="181" t="s">
        <v>443</v>
      </c>
      <c r="E23" s="181" t="s">
        <v>448</v>
      </c>
      <c r="F23" s="219" t="s">
        <v>493</v>
      </c>
      <c r="G23" s="220" t="s">
        <v>446</v>
      </c>
      <c r="H23" s="5"/>
    </row>
    <row r="24" customFormat="false" ht="18" hidden="false" customHeight="true" outlineLevel="0" collapsed="false">
      <c r="A24" s="5"/>
      <c r="B24" s="175" t="s">
        <v>494</v>
      </c>
      <c r="C24" s="175" t="s">
        <v>489</v>
      </c>
      <c r="D24" s="175" t="s">
        <v>88</v>
      </c>
      <c r="E24" s="175" t="s">
        <v>124</v>
      </c>
      <c r="F24" s="65" t="s">
        <v>495</v>
      </c>
      <c r="G24" s="218" t="s">
        <v>446</v>
      </c>
      <c r="H24" s="5"/>
    </row>
    <row r="25" customFormat="false" ht="18" hidden="false" customHeight="true" outlineLevel="0" collapsed="false">
      <c r="A25" s="5"/>
      <c r="B25" s="181" t="s">
        <v>496</v>
      </c>
      <c r="C25" s="181" t="s">
        <v>489</v>
      </c>
      <c r="D25" s="181" t="s">
        <v>88</v>
      </c>
      <c r="E25" s="181" t="s">
        <v>448</v>
      </c>
      <c r="F25" s="219" t="s">
        <v>497</v>
      </c>
      <c r="G25" s="221" t="s">
        <v>455</v>
      </c>
      <c r="H25" s="5"/>
    </row>
    <row r="26" customFormat="false" ht="18" hidden="false" customHeight="true" outlineLevel="0" collapsed="false">
      <c r="A26" s="5"/>
      <c r="B26" s="175" t="s">
        <v>498</v>
      </c>
      <c r="C26" s="175" t="s">
        <v>489</v>
      </c>
      <c r="D26" s="175" t="s">
        <v>443</v>
      </c>
      <c r="E26" s="175" t="s">
        <v>477</v>
      </c>
      <c r="F26" s="65" t="s">
        <v>499</v>
      </c>
      <c r="G26" s="222" t="s">
        <v>455</v>
      </c>
      <c r="H26" s="5"/>
    </row>
    <row r="27" customFormat="false" ht="18" hidden="false" customHeight="true" outlineLevel="0" collapsed="false">
      <c r="A27" s="5"/>
      <c r="B27" s="181" t="s">
        <v>500</v>
      </c>
      <c r="C27" s="181" t="s">
        <v>489</v>
      </c>
      <c r="D27" s="181" t="s">
        <v>88</v>
      </c>
      <c r="E27" s="181" t="s">
        <v>466</v>
      </c>
      <c r="F27" s="219" t="s">
        <v>501</v>
      </c>
      <c r="G27" s="221" t="s">
        <v>455</v>
      </c>
      <c r="H27" s="5"/>
    </row>
    <row r="28" customFormat="false" ht="18" hidden="false" customHeight="true" outlineLevel="0" collapsed="false">
      <c r="A28" s="5"/>
      <c r="B28" s="175" t="s">
        <v>502</v>
      </c>
      <c r="C28" s="175" t="s">
        <v>489</v>
      </c>
      <c r="D28" s="175" t="s">
        <v>283</v>
      </c>
      <c r="E28" s="175" t="s">
        <v>458</v>
      </c>
      <c r="F28" s="65" t="s">
        <v>503</v>
      </c>
      <c r="G28" s="218" t="s">
        <v>446</v>
      </c>
      <c r="H28" s="5"/>
    </row>
    <row r="29" customFormat="false" ht="18" hidden="false" customHeight="true" outlineLevel="0" collapsed="false">
      <c r="A29" s="5"/>
      <c r="B29" s="181" t="s">
        <v>504</v>
      </c>
      <c r="C29" s="181" t="s">
        <v>489</v>
      </c>
      <c r="D29" s="181" t="s">
        <v>88</v>
      </c>
      <c r="E29" s="181" t="s">
        <v>490</v>
      </c>
      <c r="F29" s="219" t="s">
        <v>505</v>
      </c>
      <c r="G29" s="221" t="s">
        <v>455</v>
      </c>
      <c r="H29" s="5"/>
    </row>
    <row r="30" customFormat="false" ht="18" hidden="false" customHeight="true" outlineLevel="0" collapsed="false">
      <c r="A30" s="5"/>
      <c r="B30" s="175" t="s">
        <v>506</v>
      </c>
      <c r="C30" s="175" t="s">
        <v>507</v>
      </c>
      <c r="D30" s="175" t="s">
        <v>443</v>
      </c>
      <c r="E30" s="175" t="s">
        <v>490</v>
      </c>
      <c r="F30" s="65" t="s">
        <v>508</v>
      </c>
      <c r="G30" s="218" t="s">
        <v>446</v>
      </c>
      <c r="H30" s="5"/>
    </row>
    <row r="31" customFormat="false" ht="18" hidden="false" customHeight="true" outlineLevel="0" collapsed="false">
      <c r="A31" s="5"/>
      <c r="B31" s="181" t="s">
        <v>509</v>
      </c>
      <c r="C31" s="181" t="s">
        <v>507</v>
      </c>
      <c r="D31" s="181" t="s">
        <v>443</v>
      </c>
      <c r="E31" s="181" t="s">
        <v>444</v>
      </c>
      <c r="F31" s="219" t="s">
        <v>510</v>
      </c>
      <c r="G31" s="220" t="s">
        <v>446</v>
      </c>
      <c r="H31" s="5"/>
    </row>
    <row r="32" customFormat="false" ht="18" hidden="false" customHeight="true" outlineLevel="0" collapsed="false">
      <c r="A32" s="5"/>
      <c r="B32" s="175" t="s">
        <v>511</v>
      </c>
      <c r="C32" s="175" t="s">
        <v>507</v>
      </c>
      <c r="D32" s="175" t="s">
        <v>88</v>
      </c>
      <c r="E32" s="175" t="s">
        <v>466</v>
      </c>
      <c r="F32" s="65" t="s">
        <v>512</v>
      </c>
      <c r="G32" s="222" t="s">
        <v>455</v>
      </c>
      <c r="H32" s="5"/>
    </row>
    <row r="33" customFormat="false" ht="18" hidden="false" customHeight="true" outlineLevel="0" collapsed="false">
      <c r="A33" s="5"/>
      <c r="B33" s="181" t="s">
        <v>513</v>
      </c>
      <c r="C33" s="181" t="s">
        <v>507</v>
      </c>
      <c r="D33" s="181" t="s">
        <v>443</v>
      </c>
      <c r="E33" s="181" t="s">
        <v>477</v>
      </c>
      <c r="F33" s="219" t="s">
        <v>514</v>
      </c>
      <c r="G33" s="221" t="s">
        <v>455</v>
      </c>
      <c r="H33" s="5"/>
    </row>
    <row r="34" customFormat="false" ht="18" hidden="false" customHeight="true" outlineLevel="0" collapsed="false">
      <c r="A34" s="5"/>
      <c r="B34" s="175" t="s">
        <v>515</v>
      </c>
      <c r="C34" s="175" t="s">
        <v>507</v>
      </c>
      <c r="D34" s="175" t="s">
        <v>88</v>
      </c>
      <c r="E34" s="175" t="s">
        <v>448</v>
      </c>
      <c r="F34" s="65" t="s">
        <v>516</v>
      </c>
      <c r="G34" s="222" t="s">
        <v>455</v>
      </c>
      <c r="H34" s="5"/>
    </row>
    <row r="35" customFormat="false" ht="18" hidden="false" customHeight="true" outlineLevel="0" collapsed="false">
      <c r="A35" s="5"/>
      <c r="B35" s="181" t="s">
        <v>517</v>
      </c>
      <c r="C35" s="181" t="s">
        <v>507</v>
      </c>
      <c r="D35" s="181" t="s">
        <v>457</v>
      </c>
      <c r="E35" s="181" t="s">
        <v>461</v>
      </c>
      <c r="F35" s="219" t="s">
        <v>518</v>
      </c>
      <c r="G35" s="220" t="s">
        <v>446</v>
      </c>
      <c r="H35" s="5"/>
    </row>
    <row r="36" customFormat="false" ht="18" hidden="false" customHeight="true" outlineLevel="0" collapsed="false">
      <c r="A36" s="5"/>
      <c r="B36" s="175" t="s">
        <v>519</v>
      </c>
      <c r="C36" s="175" t="s">
        <v>292</v>
      </c>
      <c r="D36" s="175" t="s">
        <v>88</v>
      </c>
      <c r="E36" s="175" t="s">
        <v>448</v>
      </c>
      <c r="F36" s="65" t="s">
        <v>520</v>
      </c>
      <c r="G36" s="222" t="s">
        <v>455</v>
      </c>
      <c r="H36" s="5"/>
    </row>
    <row r="37" customFormat="false" ht="18" hidden="false" customHeight="true" outlineLevel="0" collapsed="false">
      <c r="A37" s="5"/>
      <c r="B37" s="181" t="s">
        <v>521</v>
      </c>
      <c r="C37" s="181" t="s">
        <v>292</v>
      </c>
      <c r="D37" s="181" t="s">
        <v>283</v>
      </c>
      <c r="E37" s="181" t="s">
        <v>451</v>
      </c>
      <c r="F37" s="219" t="s">
        <v>522</v>
      </c>
      <c r="G37" s="221" t="s">
        <v>455</v>
      </c>
      <c r="H37" s="5"/>
    </row>
    <row r="38" customFormat="false" ht="18" hidden="false" customHeight="true" outlineLevel="0" collapsed="false">
      <c r="A38" s="5"/>
      <c r="B38" s="175" t="s">
        <v>523</v>
      </c>
      <c r="C38" s="175" t="s">
        <v>292</v>
      </c>
      <c r="D38" s="175" t="s">
        <v>443</v>
      </c>
      <c r="E38" s="175" t="s">
        <v>444</v>
      </c>
      <c r="F38" s="65" t="s">
        <v>524</v>
      </c>
      <c r="G38" s="218" t="s">
        <v>446</v>
      </c>
      <c r="H38" s="5"/>
    </row>
    <row r="39" customFormat="false" ht="18" hidden="false" customHeight="true" outlineLevel="0" collapsed="false">
      <c r="A39" s="5"/>
      <c r="B39" s="181" t="s">
        <v>525</v>
      </c>
      <c r="C39" s="181" t="s">
        <v>292</v>
      </c>
      <c r="D39" s="181" t="s">
        <v>443</v>
      </c>
      <c r="E39" s="181" t="s">
        <v>461</v>
      </c>
      <c r="F39" s="219" t="s">
        <v>526</v>
      </c>
      <c r="G39" s="221" t="s">
        <v>455</v>
      </c>
      <c r="H39" s="5"/>
    </row>
    <row r="40" customFormat="false" ht="18" hidden="false" customHeight="true" outlineLevel="0" collapsed="false">
      <c r="A40" s="5"/>
      <c r="B40" s="175" t="s">
        <v>527</v>
      </c>
      <c r="C40" s="175" t="s">
        <v>292</v>
      </c>
      <c r="D40" s="175" t="s">
        <v>88</v>
      </c>
      <c r="E40" s="175" t="s">
        <v>448</v>
      </c>
      <c r="F40" s="65" t="s">
        <v>528</v>
      </c>
      <c r="G40" s="222" t="s">
        <v>455</v>
      </c>
      <c r="H40" s="5"/>
    </row>
    <row r="41" customFormat="false" ht="18" hidden="false" customHeight="true" outlineLevel="0" collapsed="false">
      <c r="A41" s="5"/>
      <c r="B41" s="181" t="s">
        <v>529</v>
      </c>
      <c r="C41" s="181" t="s">
        <v>292</v>
      </c>
      <c r="D41" s="181" t="s">
        <v>283</v>
      </c>
      <c r="E41" s="181" t="s">
        <v>458</v>
      </c>
      <c r="F41" s="219" t="s">
        <v>530</v>
      </c>
      <c r="G41" s="221" t="s">
        <v>455</v>
      </c>
      <c r="H41" s="5"/>
    </row>
    <row r="42" customFormat="false" ht="18" hidden="false" customHeight="true" outlineLevel="0" collapsed="false">
      <c r="A42" s="5"/>
      <c r="B42" s="175" t="s">
        <v>531</v>
      </c>
      <c r="C42" s="175" t="s">
        <v>292</v>
      </c>
      <c r="D42" s="175" t="s">
        <v>443</v>
      </c>
      <c r="E42" s="175" t="s">
        <v>444</v>
      </c>
      <c r="F42" s="65" t="s">
        <v>532</v>
      </c>
      <c r="G42" s="218" t="s">
        <v>446</v>
      </c>
      <c r="H42" s="5"/>
    </row>
    <row r="43" customFormat="false" ht="18" hidden="false" customHeight="true" outlineLevel="0" collapsed="false">
      <c r="A43" s="5"/>
      <c r="B43" s="181" t="s">
        <v>533</v>
      </c>
      <c r="C43" s="181" t="s">
        <v>292</v>
      </c>
      <c r="D43" s="181" t="s">
        <v>88</v>
      </c>
      <c r="E43" s="181" t="s">
        <v>448</v>
      </c>
      <c r="F43" s="219" t="s">
        <v>534</v>
      </c>
      <c r="G43" s="221" t="s">
        <v>455</v>
      </c>
      <c r="H43" s="5"/>
    </row>
    <row r="44" customFormat="false" ht="15" hidden="false" customHeight="true" outlineLevel="0" collapsed="false">
      <c r="A44" s="5"/>
      <c r="H44" s="5"/>
    </row>
    <row r="45" customFormat="false" ht="15" hidden="false" customHeight="true" outlineLevel="0" collapsed="false">
      <c r="A45" s="5"/>
      <c r="H45" s="5"/>
    </row>
    <row r="46" customFormat="false" ht="15" hidden="false" customHeight="true" outlineLevel="0" collapsed="false">
      <c r="A46" s="5"/>
      <c r="H46" s="5"/>
    </row>
    <row r="47" customFormat="false" ht="15" hidden="false" customHeight="true" outlineLevel="0" collapsed="false">
      <c r="A47" s="5"/>
      <c r="H47" s="5"/>
    </row>
    <row r="48" customFormat="false" ht="15" hidden="false" customHeight="true" outlineLevel="0" collapsed="false">
      <c r="A48" s="5"/>
      <c r="H48" s="5"/>
    </row>
  </sheetData>
  <dataValidations count="4">
    <dataValidation allowBlank="false" errorStyle="stop" operator="between" showDropDown="false" showErrorMessage="false" showInputMessage="false" sqref="C6:C43" type="list">
      <formula1>"Salud/Clínica,Restaurante,Fitness,Moda/Boutique,Universal"</formula1>
      <formula2>0</formula2>
    </dataValidation>
    <dataValidation allowBlank="false" errorStyle="stop" operator="between" showDropDown="false" showErrorMessage="false" showInputMessage="false" sqref="D6:D43" type="list">
      <formula1>"Reel,Carrusel,Story,Video,Post estático,Live,Podcast"</formula1>
      <formula2>0</formula2>
    </dataValidation>
    <dataValidation allowBlank="false" errorStyle="stop" operator="between" showDropDown="false" showErrorMessage="false" showInputMessage="false" sqref="E6:E43" type="list">
      <formula1>"Awareness,Educación,Engagement,Ventas,Leads,Confianza,Inspiración,Humanización,Utilidad,Entretenimiento"</formula1>
      <formula2>0</formula2>
    </dataValidation>
    <dataValidation allowBlank="false" errorStyle="stop" operator="between" showDropDown="false" showErrorMessage="false" showInputMessage="false" sqref="G6:G43" type="list">
      <formula1>"🔥 Alta,🟡 Media,🟢 Baja"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L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50"/>
    <col collapsed="false" customWidth="true" hidden="false" outlineLevel="0" max="4" min="4" style="1" width="3"/>
  </cols>
  <sheetData>
    <row r="1" customFormat="false" ht="21.75" hidden="false" customHeight="true" outlineLevel="0" collapsed="false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21.75" hidden="false" customHeight="true" outlineLevel="0" collapsed="false">
      <c r="A2" s="6"/>
      <c r="B2" s="224" t="s">
        <v>535</v>
      </c>
      <c r="C2" s="224"/>
      <c r="D2" s="6"/>
      <c r="E2" s="6"/>
      <c r="F2" s="6"/>
      <c r="G2" s="6"/>
      <c r="H2" s="6"/>
      <c r="I2" s="6"/>
      <c r="J2" s="6"/>
      <c r="K2" s="6"/>
      <c r="L2" s="6"/>
    </row>
    <row r="3" customFormat="false" ht="21.75" hidden="false" customHeight="true" outlineLevel="0" collapsed="false">
      <c r="A3" s="6"/>
      <c r="B3" s="224"/>
      <c r="C3" s="224"/>
      <c r="D3" s="6"/>
      <c r="E3" s="6"/>
      <c r="F3" s="6"/>
      <c r="G3" s="6"/>
      <c r="H3" s="6"/>
      <c r="I3" s="6"/>
      <c r="J3" s="6"/>
      <c r="K3" s="6"/>
      <c r="L3" s="6"/>
    </row>
    <row r="4" customFormat="false" ht="21.75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customFormat="false" ht="21.75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21.75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customFormat="false" ht="21.75" hidden="false" customHeight="true" outlineLevel="0" collapsed="false">
      <c r="A7" s="5"/>
      <c r="B7" s="225" t="s">
        <v>0</v>
      </c>
      <c r="C7" s="226" t="s">
        <v>536</v>
      </c>
      <c r="D7" s="5"/>
      <c r="E7" s="5"/>
      <c r="F7" s="5"/>
      <c r="G7" s="5"/>
      <c r="H7" s="5"/>
      <c r="I7" s="5"/>
      <c r="J7" s="5"/>
      <c r="K7" s="5"/>
      <c r="L7" s="5"/>
    </row>
    <row r="8" customFormat="false" ht="21.75" hidden="false" customHeight="true" outlineLevel="0" collapsed="false">
      <c r="A8" s="5"/>
      <c r="B8" s="227" t="s">
        <v>1</v>
      </c>
      <c r="C8" s="228" t="s">
        <v>537</v>
      </c>
      <c r="D8" s="5"/>
      <c r="E8" s="5"/>
      <c r="F8" s="5"/>
      <c r="G8" s="5"/>
      <c r="H8" s="5"/>
      <c r="I8" s="5"/>
      <c r="J8" s="5"/>
      <c r="K8" s="5"/>
      <c r="L8" s="5"/>
    </row>
    <row r="9" customFormat="false" ht="21.75" hidden="false" customHeight="true" outlineLevel="0" collapsed="false">
      <c r="A9" s="5"/>
      <c r="B9" s="225" t="s">
        <v>2</v>
      </c>
      <c r="C9" s="226" t="s">
        <v>538</v>
      </c>
      <c r="D9" s="5"/>
      <c r="E9" s="5"/>
      <c r="F9" s="5"/>
      <c r="G9" s="5"/>
      <c r="H9" s="5"/>
      <c r="I9" s="5"/>
      <c r="J9" s="5"/>
      <c r="K9" s="5"/>
      <c r="L9" s="5"/>
    </row>
    <row r="10" customFormat="false" ht="21.75" hidden="false" customHeight="true" outlineLevel="0" collapsed="false">
      <c r="A10" s="5"/>
      <c r="B10" s="227" t="s">
        <v>3</v>
      </c>
      <c r="C10" s="228" t="s">
        <v>539</v>
      </c>
      <c r="D10" s="5"/>
      <c r="E10" s="5"/>
      <c r="F10" s="5"/>
      <c r="G10" s="5"/>
      <c r="H10" s="5"/>
      <c r="I10" s="5"/>
      <c r="J10" s="5"/>
      <c r="K10" s="5"/>
      <c r="L10" s="5"/>
    </row>
    <row r="11" customFormat="false" ht="21.75" hidden="false" customHeight="true" outlineLevel="0" collapsed="false">
      <c r="A11" s="5"/>
      <c r="B11" s="225" t="s">
        <v>4</v>
      </c>
      <c r="C11" s="226" t="s">
        <v>540</v>
      </c>
      <c r="D11" s="5"/>
      <c r="E11" s="5"/>
      <c r="F11" s="5"/>
      <c r="G11" s="5"/>
      <c r="H11" s="5"/>
      <c r="I11" s="5"/>
      <c r="J11" s="5"/>
      <c r="K11" s="5"/>
      <c r="L11" s="5"/>
    </row>
    <row r="12" customFormat="false" ht="21.75" hidden="false" customHeight="true" outlineLevel="0" collapsed="false">
      <c r="A12" s="5"/>
      <c r="B12" s="227" t="s">
        <v>5</v>
      </c>
      <c r="C12" s="228" t="s">
        <v>541</v>
      </c>
      <c r="D12" s="5"/>
      <c r="E12" s="5"/>
      <c r="F12" s="5"/>
      <c r="G12" s="5"/>
      <c r="H12" s="5"/>
      <c r="I12" s="5"/>
      <c r="J12" s="5"/>
      <c r="K12" s="5"/>
      <c r="L12" s="5"/>
    </row>
    <row r="13" customFormat="false" ht="21.75" hidden="false" customHeight="true" outlineLevel="0" collapsed="false">
      <c r="A13" s="5"/>
      <c r="B13" s="6"/>
      <c r="C13" s="6"/>
      <c r="D13" s="5"/>
      <c r="E13" s="5"/>
      <c r="F13" s="5"/>
      <c r="G13" s="5"/>
      <c r="H13" s="5"/>
      <c r="I13" s="5"/>
      <c r="J13" s="5"/>
      <c r="K13" s="5"/>
      <c r="L13" s="5"/>
    </row>
    <row r="14" customFormat="false" ht="21.75" hidden="false" customHeight="true" outlineLevel="0" collapsed="false">
      <c r="A14" s="5"/>
      <c r="B14" s="229" t="s">
        <v>542</v>
      </c>
      <c r="C14" s="228"/>
      <c r="D14" s="5"/>
      <c r="E14" s="5"/>
      <c r="F14" s="5"/>
      <c r="G14" s="5"/>
      <c r="H14" s="5"/>
      <c r="I14" s="5"/>
      <c r="J14" s="5"/>
      <c r="K14" s="5"/>
      <c r="L14" s="5"/>
    </row>
    <row r="15" customFormat="false" ht="21.75" hidden="false" customHeight="true" outlineLevel="0" collapsed="false">
      <c r="A15" s="5"/>
      <c r="B15" s="225" t="s">
        <v>543</v>
      </c>
      <c r="C15" s="226" t="s">
        <v>544</v>
      </c>
      <c r="D15" s="5"/>
      <c r="E15" s="5"/>
      <c r="F15" s="5"/>
      <c r="G15" s="5"/>
      <c r="H15" s="5"/>
      <c r="I15" s="5"/>
      <c r="J15" s="5"/>
      <c r="K15" s="5"/>
      <c r="L15" s="5"/>
    </row>
    <row r="16" customFormat="false" ht="21.75" hidden="false" customHeight="true" outlineLevel="0" collapsed="false">
      <c r="A16" s="5"/>
      <c r="B16" s="227" t="s">
        <v>545</v>
      </c>
      <c r="C16" s="228" t="s">
        <v>546</v>
      </c>
      <c r="D16" s="5"/>
      <c r="E16" s="5"/>
      <c r="F16" s="5"/>
      <c r="G16" s="5"/>
      <c r="H16" s="5"/>
      <c r="I16" s="5"/>
      <c r="J16" s="5"/>
      <c r="K16" s="5"/>
      <c r="L16" s="5"/>
    </row>
    <row r="17" customFormat="false" ht="21.75" hidden="false" customHeight="true" outlineLevel="0" collapsed="false">
      <c r="A17" s="5"/>
      <c r="B17" s="225" t="s">
        <v>547</v>
      </c>
      <c r="C17" s="226" t="s">
        <v>548</v>
      </c>
      <c r="D17" s="5"/>
      <c r="E17" s="5"/>
      <c r="F17" s="5"/>
      <c r="G17" s="5"/>
      <c r="H17" s="5"/>
      <c r="I17" s="5"/>
      <c r="J17" s="5"/>
      <c r="K17" s="5"/>
      <c r="L17" s="5"/>
    </row>
    <row r="18" customFormat="false" ht="21.75" hidden="false" customHeight="true" outlineLevel="0" collapsed="false">
      <c r="A18" s="5"/>
      <c r="B18" s="227" t="s">
        <v>549</v>
      </c>
      <c r="C18" s="228" t="s">
        <v>550</v>
      </c>
      <c r="D18" s="5"/>
      <c r="E18" s="5"/>
      <c r="F18" s="5"/>
      <c r="G18" s="5"/>
      <c r="H18" s="5"/>
      <c r="I18" s="5"/>
      <c r="J18" s="5"/>
      <c r="K18" s="5"/>
      <c r="L18" s="5"/>
    </row>
    <row r="19" customFormat="false" ht="21.75" hidden="false" customHeight="true" outlineLevel="0" collapsed="false">
      <c r="A19" s="5"/>
      <c r="B19" s="6"/>
      <c r="C19" s="6"/>
      <c r="D19" s="5"/>
      <c r="E19" s="5"/>
      <c r="F19" s="5"/>
      <c r="G19" s="5"/>
      <c r="H19" s="5"/>
      <c r="I19" s="5"/>
      <c r="J19" s="5"/>
      <c r="K19" s="5"/>
      <c r="L19" s="5"/>
    </row>
    <row r="20" customFormat="false" ht="21.75" hidden="false" customHeight="true" outlineLevel="0" collapsed="false">
      <c r="A20" s="5"/>
      <c r="B20" s="229" t="s">
        <v>551</v>
      </c>
      <c r="C20" s="228" t="s">
        <v>552</v>
      </c>
      <c r="D20" s="5"/>
      <c r="E20" s="5"/>
      <c r="F20" s="5"/>
      <c r="G20" s="5"/>
      <c r="H20" s="5"/>
      <c r="I20" s="5"/>
      <c r="J20" s="5"/>
      <c r="K20" s="5"/>
      <c r="L20" s="5"/>
    </row>
    <row r="21" customFormat="false" ht="21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customFormat="false" ht="21.7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customFormat="false" ht="21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customFormat="false" ht="21.7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customFormat="false" ht="21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customFormat="false" ht="21.7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customFormat="false" ht="21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customFormat="false" ht="21.7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customFormat="false" ht="21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customFormat="false" ht="21.7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customFormat="false" ht="21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customFormat="false" ht="21.7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customFormat="false" ht="21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customFormat="false" ht="21.7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customFormat="false" ht="21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customFormat="false" ht="21.7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customFormat="false" ht="21.7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customFormat="false" ht="21.7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customFormat="false" ht="21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customFormat="false" ht="21.7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customFormat="false" ht="21.7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customFormat="false" ht="21.7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customFormat="false" ht="21.7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customFormat="false" ht="21.7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customFormat="false" ht="21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customFormat="false" ht="21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customFormat="false" ht="21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customFormat="false" ht="21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customFormat="false" ht="21.7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customFormat="false" ht="21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customFormat="false" ht="21.7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customFormat="false" ht="21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customFormat="false" ht="21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customFormat="false" ht="21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customFormat="false" ht="21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customFormat="false" ht="21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customFormat="false" ht="21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customFormat="false" ht="21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customFormat="false" ht="21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customFormat="false" ht="21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customFormat="false" ht="21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customFormat="false" ht="21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customFormat="false" ht="21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customFormat="false" ht="21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customFormat="false" ht="21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customFormat="false" ht="21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customFormat="false" ht="21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customFormat="false" ht="21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customFormat="false" ht="21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customFormat="false" ht="21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customFormat="false" ht="21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customFormat="false" ht="21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customFormat="false" ht="21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customFormat="false" ht="21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customFormat="false" ht="21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customFormat="false" ht="21.7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customFormat="false" ht="21.7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customFormat="false" ht="21.7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customFormat="false" ht="21.7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customFormat="false" ht="1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</sheetData>
  <mergeCells count="1">
    <mergeCell ref="B2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2026-03-23T03:08:54Z</dcterms:created>
  <dc:creator>openpyxl</dc:creator>
  <dc:description/>
  <dc:language>en-US</dc:language>
  <cp:lastModifiedBy/>
  <dcterms:modified xsi:type="dcterms:W3CDTF">2026-06-21T21:54:27Z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